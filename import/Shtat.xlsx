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6B1864A-C213-4FCD-AD2A-3D779513C9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01.05.2025" sheetId="5" r:id="rId1"/>
    <sheet name="Лист3" sheetId="8" r:id="rId2"/>
    <sheet name="boshliqlar" sheetId="7" r:id="rId3"/>
    <sheet name="liast----" sheetId="6" r:id="rId4"/>
    <sheet name="Лист1 (2)" sheetId="3" r:id="rId5"/>
    <sheet name="Лист4" sheetId="4" r:id="rId6"/>
    <sheet name="Лист1" sheetId="1" state="hidden" r:id="rId7"/>
    <sheet name="Лист2" sheetId="2" state="hidden" r:id="rId8"/>
  </sheets>
  <definedNames>
    <definedName name="_xlnm._FilterDatabase" localSheetId="0" hidden="1">'01.05.2025'!$A$1:$A$198</definedName>
    <definedName name="_xlnm._FilterDatabase" localSheetId="3" hidden="1">'liast----'!$A$6:$E$268</definedName>
    <definedName name="_xlnm._FilterDatabase" localSheetId="6" hidden="1">Лист1!$A$11:$D$182</definedName>
    <definedName name="_xlnm._FilterDatabase" localSheetId="4" hidden="1">'Лист1 (2)'!$A$11:$E$271</definedName>
    <definedName name="_xlnm.Print_Titles" localSheetId="0">'01.05.2025'!$1:$1</definedName>
    <definedName name="_xlnm.Print_Titles" localSheetId="3">'liast----'!$4:$5</definedName>
    <definedName name="_xlnm.Print_Titles" localSheetId="6">Лист1!$9:$10</definedName>
    <definedName name="_xlnm.Print_Titles" localSheetId="4">'Лист1 (2)'!$9:$10</definedName>
    <definedName name="_xlnm.Print_Area" localSheetId="0">'01.05.2025'!$A$1:$A$198</definedName>
    <definedName name="_xlnm.Print_Area" localSheetId="3">'liast----'!$A$1:$G$268</definedName>
    <definedName name="_xlnm.Print_Area" localSheetId="6">Лист1!$A$1:$D$239</definedName>
    <definedName name="_xlnm.Print_Area" localSheetId="4">'Лист1 (2)'!$A$1:$E$272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6" i="8" s="1"/>
  <c r="B7" i="8" s="1"/>
  <c r="B11" i="8" s="1"/>
  <c r="D263" i="6" l="1"/>
  <c r="D225" i="6" l="1"/>
  <c r="B267" i="6"/>
  <c r="D266" i="6"/>
  <c r="C266" i="6"/>
  <c r="D265" i="6"/>
  <c r="C265" i="6"/>
  <c r="D264" i="6"/>
  <c r="C264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E254" i="6" s="1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B232" i="6"/>
  <c r="D231" i="6"/>
  <c r="C231" i="6"/>
  <c r="C230" i="6"/>
  <c r="D230" i="6" s="1"/>
  <c r="C229" i="6"/>
  <c r="D229" i="6" s="1"/>
  <c r="D228" i="6"/>
  <c r="C228" i="6"/>
  <c r="D227" i="6"/>
  <c r="C227" i="6"/>
  <c r="D226" i="6"/>
  <c r="C226" i="6"/>
  <c r="C225" i="6"/>
  <c r="D223" i="6"/>
  <c r="C223" i="6"/>
  <c r="B221" i="6"/>
  <c r="C220" i="6"/>
  <c r="D219" i="6"/>
  <c r="C219" i="6"/>
  <c r="D218" i="6"/>
  <c r="C218" i="6"/>
  <c r="D217" i="6"/>
  <c r="C217" i="6"/>
  <c r="B215" i="6"/>
  <c r="D213" i="6"/>
  <c r="C213" i="6"/>
  <c r="D212" i="6"/>
  <c r="C212" i="6"/>
  <c r="D211" i="6"/>
  <c r="C211" i="6"/>
  <c r="B209" i="6"/>
  <c r="D208" i="6"/>
  <c r="C208" i="6"/>
  <c r="D207" i="6"/>
  <c r="C207" i="6"/>
  <c r="D206" i="6"/>
  <c r="C206" i="6"/>
  <c r="B204" i="6"/>
  <c r="D203" i="6"/>
  <c r="C203" i="6"/>
  <c r="C202" i="6"/>
  <c r="D201" i="6"/>
  <c r="D200" i="6"/>
  <c r="C200" i="6"/>
  <c r="B198" i="6"/>
  <c r="D197" i="6"/>
  <c r="C197" i="6"/>
  <c r="D196" i="6"/>
  <c r="C196" i="6"/>
  <c r="D195" i="6"/>
  <c r="C195" i="6"/>
  <c r="D194" i="6"/>
  <c r="C194" i="6"/>
  <c r="D193" i="6"/>
  <c r="C193" i="6"/>
  <c r="D191" i="6"/>
  <c r="C191" i="6"/>
  <c r="B189" i="6"/>
  <c r="D188" i="6"/>
  <c r="C188" i="6"/>
  <c r="D187" i="6"/>
  <c r="C187" i="6"/>
  <c r="D186" i="6"/>
  <c r="C186" i="6"/>
  <c r="D185" i="6"/>
  <c r="C185" i="6"/>
  <c r="D184" i="6"/>
  <c r="C184" i="6"/>
  <c r="B182" i="6"/>
  <c r="D181" i="6"/>
  <c r="C181" i="6"/>
  <c r="D180" i="6"/>
  <c r="C180" i="6"/>
  <c r="B178" i="6"/>
  <c r="D177" i="6"/>
  <c r="D176" i="6"/>
  <c r="C176" i="6"/>
  <c r="C175" i="6"/>
  <c r="D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B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B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0" i="6"/>
  <c r="C130" i="6"/>
  <c r="B128" i="6"/>
  <c r="D127" i="6"/>
  <c r="C127" i="6"/>
  <c r="D126" i="6"/>
  <c r="C126" i="6"/>
  <c r="D125" i="6"/>
  <c r="C125" i="6"/>
  <c r="B123" i="6"/>
  <c r="D122" i="6"/>
  <c r="C122" i="6"/>
  <c r="D121" i="6"/>
  <c r="C121" i="6"/>
  <c r="D120" i="6"/>
  <c r="C120" i="6"/>
  <c r="D119" i="6"/>
  <c r="C119" i="6"/>
  <c r="B117" i="6"/>
  <c r="D115" i="6"/>
  <c r="C115" i="6"/>
  <c r="D114" i="6"/>
  <c r="C114" i="6"/>
  <c r="D113" i="6"/>
  <c r="C113" i="6"/>
  <c r="D111" i="6"/>
  <c r="C111" i="6"/>
  <c r="B109" i="6"/>
  <c r="D108" i="6"/>
  <c r="C108" i="6"/>
  <c r="D107" i="6"/>
  <c r="C107" i="6"/>
  <c r="D106" i="6"/>
  <c r="C106" i="6"/>
  <c r="D105" i="6"/>
  <c r="C105" i="6"/>
  <c r="B103" i="6"/>
  <c r="D102" i="6"/>
  <c r="C102" i="6"/>
  <c r="D101" i="6"/>
  <c r="C101" i="6"/>
  <c r="D100" i="6"/>
  <c r="C100" i="6"/>
  <c r="B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B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7" i="6"/>
  <c r="C47" i="6"/>
  <c r="B45" i="6"/>
  <c r="D44" i="6"/>
  <c r="C44" i="6"/>
  <c r="D43" i="6"/>
  <c r="C43" i="6"/>
  <c r="D42" i="6"/>
  <c r="C42" i="6"/>
  <c r="B40" i="6"/>
  <c r="D39" i="6"/>
  <c r="C39" i="6"/>
  <c r="D38" i="6"/>
  <c r="C38" i="6"/>
  <c r="D37" i="6"/>
  <c r="C37" i="6"/>
  <c r="D36" i="6"/>
  <c r="C36" i="6"/>
  <c r="D34" i="6"/>
  <c r="C34" i="6"/>
  <c r="D33" i="6"/>
  <c r="C33" i="6"/>
  <c r="D32" i="6"/>
  <c r="C32" i="6"/>
  <c r="B31" i="6"/>
  <c r="D30" i="6"/>
  <c r="C30" i="6"/>
  <c r="D29" i="6"/>
  <c r="C29" i="6"/>
  <c r="B27" i="6"/>
  <c r="D26" i="6"/>
  <c r="C26" i="6"/>
  <c r="D25" i="6"/>
  <c r="C25" i="6"/>
  <c r="B23" i="6"/>
  <c r="D22" i="6"/>
  <c r="C22" i="6"/>
  <c r="D21" i="6"/>
  <c r="C21" i="6"/>
  <c r="D20" i="6"/>
  <c r="C20" i="6"/>
  <c r="D19" i="6"/>
  <c r="C19" i="6"/>
  <c r="D18" i="6"/>
  <c r="C18" i="6"/>
  <c r="B16" i="6"/>
  <c r="D15" i="6"/>
  <c r="C15" i="6"/>
  <c r="D14" i="6"/>
  <c r="C14" i="6"/>
  <c r="D13" i="6"/>
  <c r="C13" i="6"/>
  <c r="D12" i="6"/>
  <c r="C12" i="6"/>
  <c r="B10" i="6"/>
  <c r="D9" i="6"/>
  <c r="C9" i="6"/>
  <c r="D8" i="6"/>
  <c r="C8" i="6"/>
  <c r="D7" i="6"/>
  <c r="C7" i="6"/>
  <c r="B268" i="6" l="1"/>
  <c r="D215" i="6"/>
  <c r="D23" i="6"/>
  <c r="D45" i="6"/>
  <c r="D148" i="6"/>
  <c r="D128" i="6"/>
  <c r="D267" i="6"/>
  <c r="D204" i="6"/>
  <c r="D220" i="6"/>
  <c r="D221" i="6" s="1"/>
  <c r="D10" i="6"/>
  <c r="D165" i="6"/>
  <c r="D98" i="6"/>
  <c r="D40" i="6"/>
  <c r="D89" i="6"/>
  <c r="D103" i="6"/>
  <c r="D117" i="6"/>
  <c r="D178" i="6"/>
  <c r="D198" i="6"/>
  <c r="D16" i="6"/>
  <c r="D31" i="6"/>
  <c r="D109" i="6"/>
  <c r="D123" i="6"/>
  <c r="D189" i="6"/>
  <c r="D27" i="6"/>
  <c r="D182" i="6"/>
  <c r="D209" i="6"/>
  <c r="D232" i="6"/>
  <c r="D268" i="6" l="1"/>
  <c r="D139" i="3" l="1"/>
  <c r="D138" i="3"/>
  <c r="B115" i="3"/>
  <c r="D111" i="3"/>
  <c r="C111" i="3"/>
  <c r="D42" i="3"/>
  <c r="D35" i="3"/>
  <c r="C35" i="3"/>
  <c r="D120" i="3"/>
  <c r="C120" i="3"/>
  <c r="C126" i="3"/>
  <c r="D126" i="3"/>
  <c r="D177" i="3"/>
  <c r="C177" i="3"/>
  <c r="D186" i="3"/>
  <c r="C186" i="3"/>
  <c r="D232" i="3" l="1"/>
  <c r="D231" i="3"/>
  <c r="D181" i="3" l="1"/>
  <c r="C181" i="3"/>
  <c r="D180" i="3"/>
  <c r="C180" i="3"/>
  <c r="D178" i="3"/>
  <c r="C178" i="3"/>
  <c r="D176" i="3"/>
  <c r="C176" i="3"/>
  <c r="D175" i="3"/>
  <c r="C175" i="3"/>
  <c r="C264" i="3"/>
  <c r="C265" i="3"/>
  <c r="C266" i="3"/>
  <c r="C267" i="3"/>
  <c r="C268" i="3"/>
  <c r="C269" i="3"/>
  <c r="D268" i="3"/>
  <c r="D267" i="3"/>
  <c r="D266" i="3"/>
  <c r="D265" i="3"/>
  <c r="D264" i="3"/>
  <c r="D269" i="3"/>
  <c r="D263" i="3"/>
  <c r="C263" i="3"/>
  <c r="D262" i="3"/>
  <c r="C262" i="3"/>
  <c r="D261" i="3"/>
  <c r="C261" i="3"/>
  <c r="D260" i="3"/>
  <c r="C260" i="3"/>
  <c r="D259" i="3"/>
  <c r="C259" i="3"/>
  <c r="D258" i="3"/>
  <c r="D253" i="3"/>
  <c r="D254" i="3"/>
  <c r="D255" i="3"/>
  <c r="D256" i="3"/>
  <c r="D257" i="3"/>
  <c r="D252" i="3"/>
  <c r="C257" i="3"/>
  <c r="C256" i="3"/>
  <c r="C255" i="3"/>
  <c r="C254" i="3"/>
  <c r="C253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34" i="3"/>
  <c r="D234" i="3" s="1"/>
  <c r="C233" i="3"/>
  <c r="D233" i="3" s="1"/>
  <c r="C232" i="3"/>
  <c r="D200" i="3"/>
  <c r="C200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2" i="3"/>
  <c r="C62" i="3"/>
  <c r="D61" i="3"/>
  <c r="C61" i="3"/>
  <c r="D60" i="3"/>
  <c r="C60" i="3"/>
  <c r="D59" i="3"/>
  <c r="C59" i="3"/>
  <c r="D58" i="3"/>
  <c r="C58" i="3"/>
  <c r="B171" i="3" l="1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2" i="3"/>
  <c r="C152" i="3"/>
  <c r="D151" i="3"/>
  <c r="C151" i="3"/>
  <c r="D149" i="3"/>
  <c r="C149" i="3"/>
  <c r="D148" i="3"/>
  <c r="C148" i="3"/>
  <c r="D146" i="3"/>
  <c r="C146" i="3"/>
  <c r="D145" i="3"/>
  <c r="C145" i="3"/>
  <c r="D144" i="3"/>
  <c r="C144" i="3"/>
  <c r="D143" i="3"/>
  <c r="C143" i="3"/>
  <c r="D140" i="3"/>
  <c r="C140" i="3"/>
  <c r="C139" i="3"/>
  <c r="D43" i="3"/>
  <c r="C43" i="3"/>
  <c r="B28" i="3" l="1"/>
  <c r="C12" i="3" l="1"/>
  <c r="C53" i="3"/>
  <c r="C14" i="3"/>
  <c r="C13" i="3"/>
  <c r="C228" i="3"/>
  <c r="C197" i="3"/>
  <c r="C189" i="3"/>
  <c r="C173" i="3"/>
  <c r="C137" i="3"/>
  <c r="C131" i="3"/>
  <c r="C125" i="3"/>
  <c r="C118" i="3"/>
  <c r="C97" i="3"/>
  <c r="C55" i="3"/>
  <c r="C23" i="3"/>
  <c r="C47" i="3"/>
  <c r="C30" i="3"/>
  <c r="C41" i="3"/>
  <c r="C37" i="3"/>
  <c r="C34" i="3"/>
  <c r="C17" i="3"/>
  <c r="C229" i="3"/>
  <c r="C221" i="3"/>
  <c r="C215" i="3"/>
  <c r="C210" i="3"/>
  <c r="C205" i="3"/>
  <c r="C185" i="3"/>
  <c r="C138" i="3"/>
  <c r="C106" i="3"/>
  <c r="C98" i="3"/>
  <c r="C56" i="3"/>
  <c r="C18" i="3"/>
  <c r="C190" i="3"/>
  <c r="C141" i="3"/>
  <c r="C119" i="3"/>
  <c r="C112" i="3"/>
  <c r="C99" i="3"/>
  <c r="C57" i="3"/>
  <c r="C27" i="3"/>
  <c r="C20" i="3"/>
  <c r="C19" i="3"/>
  <c r="C238" i="3"/>
  <c r="C230" i="3"/>
  <c r="C222" i="3"/>
  <c r="C216" i="3"/>
  <c r="C211" i="3"/>
  <c r="C206" i="3"/>
  <c r="C198" i="3"/>
  <c r="C191" i="3"/>
  <c r="C174" i="3"/>
  <c r="C142" i="3"/>
  <c r="C132" i="3"/>
  <c r="C113" i="3"/>
  <c r="C107" i="3"/>
  <c r="C100" i="3"/>
  <c r="C63" i="3"/>
  <c r="C24" i="3"/>
  <c r="C39" i="3"/>
  <c r="C38" i="3"/>
  <c r="C252" i="3"/>
  <c r="C231" i="3"/>
  <c r="C223" i="3"/>
  <c r="C217" i="3"/>
  <c r="C212" i="3"/>
  <c r="C207" i="3"/>
  <c r="C199" i="3"/>
  <c r="C192" i="3"/>
  <c r="C156" i="3"/>
  <c r="C147" i="3"/>
  <c r="C133" i="3"/>
  <c r="C127" i="3"/>
  <c r="C121" i="3"/>
  <c r="C114" i="3"/>
  <c r="C108" i="3"/>
  <c r="C101" i="3"/>
  <c r="C71" i="3"/>
  <c r="C25" i="3"/>
  <c r="C49" i="3"/>
  <c r="C48" i="3"/>
  <c r="C258" i="3"/>
  <c r="C235" i="3"/>
  <c r="C224" i="3"/>
  <c r="C201" i="3"/>
  <c r="C193" i="3"/>
  <c r="C179" i="3"/>
  <c r="C150" i="3"/>
  <c r="C128" i="3"/>
  <c r="C102" i="3"/>
  <c r="C79" i="3"/>
  <c r="C26" i="3"/>
  <c r="C31" i="3"/>
  <c r="C202" i="3"/>
  <c r="C182" i="3"/>
  <c r="C153" i="3"/>
  <c r="C103" i="3"/>
  <c r="C94" i="3"/>
  <c r="C42" i="3"/>
  <c r="C44" i="3"/>
  <c r="E30" i="4" l="1"/>
  <c r="E17" i="4"/>
  <c r="F22" i="4"/>
  <c r="F23" i="4"/>
  <c r="F24" i="4"/>
  <c r="F25" i="4"/>
  <c r="F26" i="4"/>
  <c r="F27" i="4"/>
  <c r="F28" i="4"/>
  <c r="F29" i="4"/>
  <c r="F21" i="4"/>
  <c r="F5" i="4"/>
  <c r="F6" i="4"/>
  <c r="F7" i="4"/>
  <c r="F8" i="4"/>
  <c r="F9" i="4"/>
  <c r="F10" i="4"/>
  <c r="F11" i="4"/>
  <c r="F12" i="4"/>
  <c r="F13" i="4"/>
  <c r="F14" i="4"/>
  <c r="F15" i="4"/>
  <c r="F16" i="4"/>
  <c r="F4" i="4"/>
  <c r="D235" i="3"/>
  <c r="D230" i="3"/>
  <c r="D229" i="3"/>
  <c r="D228" i="3"/>
  <c r="D44" i="3"/>
  <c r="F30" i="4" l="1"/>
  <c r="F17" i="4"/>
  <c r="D12" i="3" l="1"/>
  <c r="D53" i="3"/>
  <c r="D14" i="3"/>
  <c r="D13" i="3"/>
  <c r="D197" i="3"/>
  <c r="D189" i="3"/>
  <c r="D173" i="3"/>
  <c r="D137" i="3"/>
  <c r="D131" i="3"/>
  <c r="D125" i="3"/>
  <c r="D118" i="3"/>
  <c r="D97" i="3"/>
  <c r="D55" i="3"/>
  <c r="D23" i="3"/>
  <c r="D47" i="3"/>
  <c r="D30" i="3"/>
  <c r="D41" i="3"/>
  <c r="D37" i="3"/>
  <c r="D34" i="3"/>
  <c r="D17" i="3"/>
  <c r="D221" i="3"/>
  <c r="D215" i="3"/>
  <c r="D210" i="3"/>
  <c r="D205" i="3"/>
  <c r="D185" i="3"/>
  <c r="D106" i="3"/>
  <c r="D98" i="3"/>
  <c r="D56" i="3"/>
  <c r="D18" i="3"/>
  <c r="D190" i="3"/>
  <c r="D141" i="3"/>
  <c r="D119" i="3"/>
  <c r="D112" i="3"/>
  <c r="D99" i="3"/>
  <c r="D57" i="3"/>
  <c r="D27" i="3"/>
  <c r="D20" i="3"/>
  <c r="D19" i="3"/>
  <c r="D222" i="3"/>
  <c r="D216" i="3"/>
  <c r="D211" i="3"/>
  <c r="D206" i="3"/>
  <c r="D198" i="3"/>
  <c r="D191" i="3"/>
  <c r="D174" i="3"/>
  <c r="D142" i="3"/>
  <c r="D132" i="3"/>
  <c r="D113" i="3"/>
  <c r="D107" i="3"/>
  <c r="D100" i="3"/>
  <c r="D63" i="3"/>
  <c r="D24" i="3"/>
  <c r="D39" i="3"/>
  <c r="D38" i="3"/>
  <c r="D223" i="3"/>
  <c r="D217" i="3"/>
  <c r="D212" i="3"/>
  <c r="D207" i="3"/>
  <c r="D199" i="3"/>
  <c r="D192" i="3"/>
  <c r="D156" i="3"/>
  <c r="D147" i="3"/>
  <c r="D133" i="3"/>
  <c r="D127" i="3"/>
  <c r="D121" i="3"/>
  <c r="D114" i="3"/>
  <c r="D108" i="3"/>
  <c r="D101" i="3"/>
  <c r="D71" i="3"/>
  <c r="D25" i="3"/>
  <c r="D49" i="3"/>
  <c r="D48" i="3"/>
  <c r="D224" i="3"/>
  <c r="D201" i="3"/>
  <c r="D193" i="3"/>
  <c r="D179" i="3"/>
  <c r="D150" i="3"/>
  <c r="D128" i="3"/>
  <c r="D102" i="3"/>
  <c r="D79" i="3"/>
  <c r="D26" i="3"/>
  <c r="D31" i="3"/>
  <c r="D202" i="3"/>
  <c r="D182" i="3"/>
  <c r="D153" i="3"/>
  <c r="D103" i="3"/>
  <c r="D94" i="3"/>
  <c r="D115" i="3" l="1"/>
  <c r="D28" i="3"/>
  <c r="AM12" i="1"/>
  <c r="B270" i="3"/>
  <c r="D270" i="3"/>
  <c r="D236" i="3"/>
  <c r="B236" i="3"/>
  <c r="D225" i="3"/>
  <c r="B225" i="3"/>
  <c r="D219" i="3"/>
  <c r="B219" i="3"/>
  <c r="D213" i="3"/>
  <c r="B213" i="3"/>
  <c r="D208" i="3"/>
  <c r="B208" i="3"/>
  <c r="D203" i="3"/>
  <c r="B203" i="3"/>
  <c r="D194" i="3"/>
  <c r="B194" i="3"/>
  <c r="B187" i="3"/>
  <c r="D187" i="3"/>
  <c r="B183" i="3"/>
  <c r="D183" i="3"/>
  <c r="D171" i="3"/>
  <c r="B154" i="3"/>
  <c r="D134" i="3"/>
  <c r="B134" i="3"/>
  <c r="D129" i="3"/>
  <c r="B129" i="3"/>
  <c r="D123" i="3"/>
  <c r="B123" i="3"/>
  <c r="B109" i="3"/>
  <c r="B104" i="3"/>
  <c r="B95" i="3"/>
  <c r="B50" i="3"/>
  <c r="D50" i="3"/>
  <c r="B32" i="3"/>
  <c r="D32" i="3"/>
  <c r="B45" i="3"/>
  <c r="D36" i="3"/>
  <c r="B36" i="3"/>
  <c r="B21" i="3"/>
  <c r="B15" i="3"/>
  <c r="C128" i="1"/>
  <c r="C130" i="1" s="1"/>
  <c r="C107" i="1"/>
  <c r="C19" i="1"/>
  <c r="C20" i="1"/>
  <c r="B180" i="1"/>
  <c r="C179" i="1"/>
  <c r="C180" i="1" s="1"/>
  <c r="C174" i="1"/>
  <c r="B174" i="1"/>
  <c r="C167" i="1"/>
  <c r="B167" i="1"/>
  <c r="C161" i="1"/>
  <c r="B161" i="1"/>
  <c r="C155" i="1"/>
  <c r="B155" i="1"/>
  <c r="C150" i="1"/>
  <c r="B150" i="1"/>
  <c r="C145" i="1"/>
  <c r="B145" i="1"/>
  <c r="L181" i="1"/>
  <c r="C137" i="1"/>
  <c r="B137" i="1"/>
  <c r="B130" i="1"/>
  <c r="B126" i="1"/>
  <c r="C125" i="1"/>
  <c r="C126" i="1" s="1"/>
  <c r="B119" i="1"/>
  <c r="C118" i="1"/>
  <c r="C119" i="1" s="1"/>
  <c r="B113" i="1"/>
  <c r="C112" i="1"/>
  <c r="C52" i="1"/>
  <c r="B52" i="1"/>
  <c r="C103" i="1"/>
  <c r="B103" i="1"/>
  <c r="C98" i="1"/>
  <c r="B98" i="1"/>
  <c r="C92" i="1"/>
  <c r="B92" i="1"/>
  <c r="B84" i="1"/>
  <c r="C83" i="1"/>
  <c r="C82" i="1"/>
  <c r="C81" i="1"/>
  <c r="C80" i="1"/>
  <c r="B77" i="1"/>
  <c r="C76" i="1"/>
  <c r="C75" i="1"/>
  <c r="C74" i="1"/>
  <c r="C71" i="1"/>
  <c r="C70" i="1"/>
  <c r="C69" i="1"/>
  <c r="C68" i="1"/>
  <c r="C67" i="1"/>
  <c r="B72" i="1"/>
  <c r="C66" i="1"/>
  <c r="C65" i="1"/>
  <c r="C56" i="1"/>
  <c r="C57" i="1"/>
  <c r="C60" i="1"/>
  <c r="C61" i="1"/>
  <c r="C62" i="1"/>
  <c r="C59" i="1"/>
  <c r="C58" i="1"/>
  <c r="B63" i="1"/>
  <c r="L44" i="1"/>
  <c r="F44" i="1"/>
  <c r="B44" i="1"/>
  <c r="F41" i="1"/>
  <c r="C41" i="1"/>
  <c r="F40" i="1"/>
  <c r="L39" i="1"/>
  <c r="B39" i="1"/>
  <c r="F37" i="1"/>
  <c r="C37" i="1"/>
  <c r="F55" i="1"/>
  <c r="F64" i="1"/>
  <c r="F65" i="1"/>
  <c r="F66" i="1"/>
  <c r="F67" i="1"/>
  <c r="I67" i="1"/>
  <c r="F33" i="1"/>
  <c r="C33" i="1"/>
  <c r="L35" i="1"/>
  <c r="B35" i="1"/>
  <c r="F34" i="1"/>
  <c r="C34" i="1"/>
  <c r="F32" i="1"/>
  <c r="C32" i="1"/>
  <c r="C25" i="1"/>
  <c r="B25" i="1"/>
  <c r="L21" i="1"/>
  <c r="B21" i="1"/>
  <c r="F20" i="1"/>
  <c r="F19" i="1"/>
  <c r="F18" i="1"/>
  <c r="C18" i="1"/>
  <c r="F17" i="1"/>
  <c r="C17" i="1"/>
  <c r="C27" i="1"/>
  <c r="F27" i="1"/>
  <c r="B271" i="3" l="1"/>
  <c r="C113" i="1"/>
  <c r="D21" i="3"/>
  <c r="D15" i="3"/>
  <c r="D95" i="3"/>
  <c r="D154" i="3"/>
  <c r="D104" i="3"/>
  <c r="D45" i="3"/>
  <c r="D109" i="3"/>
  <c r="C84" i="1"/>
  <c r="C77" i="1"/>
  <c r="C72" i="1"/>
  <c r="C63" i="1"/>
  <c r="C44" i="1"/>
  <c r="C39" i="1"/>
  <c r="C35" i="1"/>
  <c r="C21" i="1"/>
  <c r="C29" i="1"/>
  <c r="C28" i="1"/>
  <c r="C13" i="1"/>
  <c r="C14" i="1"/>
  <c r="C12" i="1"/>
  <c r="I13" i="1"/>
  <c r="I14" i="1"/>
  <c r="I12" i="1"/>
  <c r="L30" i="1"/>
  <c r="L15" i="1"/>
  <c r="D271" i="3" l="1"/>
  <c r="C30" i="1"/>
  <c r="C15" i="1"/>
  <c r="F32" i="4" l="1"/>
  <c r="C181" i="1"/>
  <c r="D184" i="2" l="1"/>
  <c r="G28" i="2"/>
  <c r="G78" i="2"/>
  <c r="G111" i="2"/>
  <c r="G180" i="2"/>
  <c r="G50" i="2"/>
  <c r="G110" i="2"/>
  <c r="G109" i="2"/>
  <c r="G27" i="2"/>
  <c r="G157" i="2"/>
  <c r="G179" i="2"/>
  <c r="G26" i="2"/>
  <c r="G49" i="2"/>
  <c r="G108" i="2"/>
  <c r="G149" i="2"/>
  <c r="G178" i="2"/>
  <c r="G48" i="2"/>
  <c r="G47" i="2"/>
  <c r="G107" i="2"/>
  <c r="G177" i="2"/>
  <c r="G3" i="2"/>
  <c r="G2" i="2"/>
  <c r="G1" i="2"/>
  <c r="G176" i="2"/>
  <c r="G106" i="2"/>
  <c r="G105" i="2"/>
  <c r="G148" i="2"/>
  <c r="G175" i="2"/>
  <c r="G46" i="2"/>
  <c r="G104" i="2"/>
  <c r="G147" i="2"/>
  <c r="G156" i="2"/>
  <c r="G174" i="2"/>
  <c r="G45" i="2"/>
  <c r="G77" i="2"/>
  <c r="G146" i="2"/>
  <c r="G173" i="2"/>
  <c r="G103" i="2"/>
  <c r="G145" i="2"/>
  <c r="G144" i="2"/>
  <c r="G155" i="2"/>
  <c r="G172" i="2"/>
  <c r="G4" i="2"/>
  <c r="G25" i="2"/>
  <c r="G44" i="2"/>
  <c r="G24" i="2"/>
  <c r="G43" i="2"/>
  <c r="G23" i="2"/>
  <c r="G42" i="2"/>
  <c r="G41" i="2"/>
  <c r="G40" i="2"/>
  <c r="G39" i="2"/>
  <c r="G38" i="2"/>
  <c r="G76" i="2"/>
  <c r="G75" i="2"/>
  <c r="G74" i="2"/>
  <c r="G73" i="2"/>
  <c r="G72" i="2"/>
  <c r="G71" i="2"/>
  <c r="G70" i="2"/>
  <c r="G69" i="2"/>
  <c r="G68" i="2"/>
  <c r="G67" i="2"/>
  <c r="G66" i="2"/>
  <c r="G65" i="2"/>
  <c r="G102" i="2"/>
  <c r="G101" i="2"/>
  <c r="G100" i="2"/>
  <c r="G99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37" i="2"/>
  <c r="G171" i="2"/>
  <c r="G22" i="2"/>
  <c r="G98" i="2"/>
  <c r="G130" i="2"/>
  <c r="G129" i="2"/>
  <c r="G170" i="2"/>
  <c r="G21" i="2"/>
  <c r="G64" i="2"/>
  <c r="G97" i="2"/>
  <c r="G154" i="2"/>
  <c r="G169" i="2"/>
  <c r="G128" i="2"/>
  <c r="G36" i="2"/>
  <c r="G96" i="2"/>
  <c r="G127" i="2"/>
  <c r="G126" i="2"/>
  <c r="G168" i="2"/>
  <c r="G20" i="2"/>
  <c r="G19" i="2"/>
  <c r="G18" i="2"/>
  <c r="G17" i="2"/>
  <c r="G35" i="2"/>
  <c r="G34" i="2"/>
  <c r="G95" i="2"/>
  <c r="G153" i="2"/>
  <c r="G167" i="2"/>
  <c r="G16" i="2"/>
  <c r="G33" i="2"/>
  <c r="G63" i="2"/>
  <c r="G15" i="2"/>
  <c r="G94" i="2"/>
  <c r="G125" i="2"/>
  <c r="G124" i="2"/>
  <c r="G123" i="2"/>
  <c r="G122" i="2"/>
  <c r="G121" i="2"/>
  <c r="G166" i="2"/>
  <c r="G32" i="2"/>
  <c r="G62" i="2"/>
  <c r="G93" i="2"/>
  <c r="G92" i="2"/>
  <c r="G165" i="2"/>
  <c r="G91" i="2"/>
  <c r="G90" i="2"/>
  <c r="G164" i="2"/>
  <c r="G31" i="2"/>
  <c r="G61" i="2"/>
  <c r="G60" i="2"/>
  <c r="G59" i="2"/>
  <c r="G58" i="2"/>
  <c r="G57" i="2"/>
  <c r="G56" i="2"/>
  <c r="G55" i="2"/>
  <c r="G54" i="2"/>
  <c r="G53" i="2"/>
  <c r="G89" i="2"/>
  <c r="G88" i="2"/>
  <c r="G87" i="2"/>
  <c r="G120" i="2"/>
  <c r="G119" i="2"/>
  <c r="G14" i="2"/>
  <c r="G13" i="2"/>
  <c r="G12" i="2"/>
  <c r="G11" i="2"/>
  <c r="G10" i="2"/>
  <c r="G9" i="2"/>
  <c r="G30" i="2"/>
  <c r="G29" i="2"/>
  <c r="G52" i="2"/>
  <c r="G86" i="2"/>
  <c r="G118" i="2"/>
  <c r="G117" i="2"/>
  <c r="G116" i="2"/>
  <c r="G115" i="2"/>
  <c r="G8" i="2"/>
  <c r="G152" i="2"/>
  <c r="G163" i="2"/>
  <c r="G7" i="2"/>
  <c r="G6" i="2"/>
  <c r="G85" i="2"/>
  <c r="G114" i="2"/>
  <c r="G151" i="2"/>
  <c r="G162" i="2"/>
  <c r="G51" i="2"/>
  <c r="J17" i="2"/>
  <c r="G84" i="2"/>
  <c r="G83" i="2"/>
  <c r="G113" i="2"/>
  <c r="G112" i="2"/>
  <c r="G161" i="2"/>
  <c r="G5" i="2"/>
  <c r="G82" i="2"/>
  <c r="G81" i="2"/>
  <c r="G150" i="2"/>
  <c r="G160" i="2"/>
  <c r="G80" i="2"/>
  <c r="G79" i="2"/>
  <c r="G159" i="2"/>
  <c r="G158" i="2"/>
  <c r="G182" i="2"/>
  <c r="G181" i="2"/>
  <c r="G183" i="2"/>
  <c r="F30" i="1" l="1"/>
  <c r="F14" i="1"/>
  <c r="F68" i="1"/>
  <c r="F29" i="1"/>
  <c r="F28" i="1"/>
  <c r="F13" i="1"/>
  <c r="F12" i="1"/>
  <c r="B30" i="1" l="1"/>
  <c r="B15" i="1"/>
  <c r="B18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Nafisa Ismailova</author>
  </authors>
  <commentList>
    <comment ref="A160" authorId="0" shapeId="0" xr:uid="{99CDAEAE-74DF-4933-9482-694E36337123}">
      <text>
        <r>
          <rPr>
            <b/>
            <sz val="9"/>
            <color indexed="81"/>
            <rFont val="Tahoma"/>
            <family val="2"/>
            <charset val="204"/>
          </rPr>
          <t>Nafisa Ismailova: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<sst xmlns="http://schemas.openxmlformats.org/spreadsheetml/2006/main" count="2166" uniqueCount="599">
  <si>
    <t>Razryad</t>
  </si>
  <si>
    <t>Rahbariyat (1)</t>
  </si>
  <si>
    <t>Direktor</t>
  </si>
  <si>
    <t>Direktorning birinchi o‘rinbosari</t>
  </si>
  <si>
    <t>Direktor o‘rinbosari</t>
  </si>
  <si>
    <t>Jami:</t>
  </si>
  <si>
    <t>Bosh yuriskonsult</t>
  </si>
  <si>
    <t>Maksumova Ra’no Anvarovna</t>
  </si>
  <si>
    <t>Ismailova Nafisa Amangeldiyevna</t>
  </si>
  <si>
    <t>vakant</t>
  </si>
  <si>
    <t>Djalalova Zuxra Axrarovna</t>
  </si>
  <si>
    <t>Yakushina Yelena Anatolevna</t>
  </si>
  <si>
    <t>Egamberdiyev Samariddin Egamberdi o‘g‘li</t>
  </si>
  <si>
    <t>Ombor mudiri</t>
  </si>
  <si>
    <t>Sa’dullayev Axrorxo‘ja Ubaydulla o‘g‘li</t>
  </si>
  <si>
    <t>Bo‘lim boshlig‘i</t>
  </si>
  <si>
    <t>Tursunov Abror Askarovich</t>
  </si>
  <si>
    <t>Xanbabayev Alisher Baxarovich</t>
  </si>
  <si>
    <t>Bobojonov Habibulla Ruslan o‘g‘li</t>
  </si>
  <si>
    <t>Burxanov Nuriddin Kamalitdinovich</t>
  </si>
  <si>
    <t>Demkov Viktor Vyacheslavovich</t>
  </si>
  <si>
    <t>Bo‘lim boshlig‘i o‘rinbosari</t>
  </si>
  <si>
    <t>Qurbonov Po‘latjon Nurullayevich</t>
  </si>
  <si>
    <t>Bosh mutaxassis</t>
  </si>
  <si>
    <t>1-toyifali mutaxassis</t>
  </si>
  <si>
    <t>Abduqodirov Obid Yangiboyevich</t>
  </si>
  <si>
    <t>Kurbanova Aziza Renatovna</t>
  </si>
  <si>
    <t>Umirov Davranbek Mirzaraximovich</t>
  </si>
  <si>
    <t>Jo‘raboyev Axmadillo Axmadjon o‘g‘li</t>
  </si>
  <si>
    <t>2-toyifali mutaxassis</t>
  </si>
  <si>
    <t>Boymanov Elyorjon Eshmurod o‘g‘li</t>
  </si>
  <si>
    <t>3-toyifali mutaxassis</t>
  </si>
  <si>
    <t>Eshpo‘latov Kamol Ikrom o‘g‘li</t>
  </si>
  <si>
    <t xml:space="preserve">3-toyifali mutaxassis </t>
  </si>
  <si>
    <t>Boboxolov Sayfiddin Xolmurodovich</t>
  </si>
  <si>
    <t>Sultanov Yashnar Bakijanovich</t>
  </si>
  <si>
    <t>Yuldashev Adhamjon Nurmatjonovich</t>
  </si>
  <si>
    <t>Axrorov Jasurbek Abdutoirovich</t>
  </si>
  <si>
    <t>Jumaniyazov Muzaffar Shamuratovich</t>
  </si>
  <si>
    <t>Muxamedov Zamonjon Zamirovich</t>
  </si>
  <si>
    <t>Shukurov Sherzod Mamarasulovich</t>
  </si>
  <si>
    <t>Parshinsev Nikita Viktorovich</t>
  </si>
  <si>
    <t>Kurbanov Hamza Xolbutayevich</t>
  </si>
  <si>
    <t>Yusupov Akromjon Aqiljonovich</t>
  </si>
  <si>
    <t>Raximov Sardor Uralovich</t>
  </si>
  <si>
    <t>Koshjanov Jaksilik Alimbayevich</t>
  </si>
  <si>
    <t>Xazratkulov San’at Abduxakimovich</t>
  </si>
  <si>
    <t>Begimov Suxrobjon Farxodovich</t>
  </si>
  <si>
    <t>Xabibullina Firuza Bulatovna</t>
  </si>
  <si>
    <t>Agevnina Tatyana Nikolayevna</t>
  </si>
  <si>
    <t>Norxo‘jayeva Xilola Azimxo‘ja qizi</t>
  </si>
  <si>
    <t>Xodjiakbarov Jaxongir Zikrillayevich</t>
  </si>
  <si>
    <t>Yetakchi mutaxassis</t>
  </si>
  <si>
    <t>Gardanova Diana Imadovna</t>
  </si>
  <si>
    <t>Nazarov Elyor Baxtiyor o‘g‘li</t>
  </si>
  <si>
    <t>Qudratxo‘jayev Akbar Abror o‘g‘li</t>
  </si>
  <si>
    <t>Qayumov Azimjon Abdulvosiyevich</t>
  </si>
  <si>
    <t>Saidiy Jahongir Erkin o‘g‘li</t>
  </si>
  <si>
    <t>Kiseleva Nellya Pavlovna</t>
  </si>
  <si>
    <t>Eshkuvvatov Farxod Rustamovich</t>
  </si>
  <si>
    <t>Xaydarov Davronbek Soxibjon o‘g‘li</t>
  </si>
  <si>
    <t>Iskandarov Boburjon Shuhrat o‘g‘li</t>
  </si>
  <si>
    <t>Abduxalilov Ma’rufjon Komoljon o‘g‘li</t>
  </si>
  <si>
    <t>Baxridinova Muattaroy Ravshanovna</t>
  </si>
  <si>
    <t>Ismoilov Uktam Shaymardonovich</t>
  </si>
  <si>
    <t>Ruziyev Baxtiyor Baxodirovich</t>
  </si>
  <si>
    <t>Yakubov Shuxratbek Dilmurodovich</t>
  </si>
  <si>
    <t>Xiloliddinov Jasur Yorqinovich</t>
  </si>
  <si>
    <t>Salixov Farrux Fayzullayevich</t>
  </si>
  <si>
    <t>Ishmuxamedov Bexzod Alisherovich</t>
  </si>
  <si>
    <t>Babadjonov Erkin Muxamadraufovich</t>
  </si>
  <si>
    <t>Ismailov Amanbay Turgunbaevich</t>
  </si>
  <si>
    <t>Alimov Farrux Qodirovich</t>
  </si>
  <si>
    <t>Altabayev Ramiz Amirovich</t>
  </si>
  <si>
    <t>Masharipov Odilbek Niyazmetovich</t>
  </si>
  <si>
    <t>Norkulov Doniyor Allayorovich</t>
  </si>
  <si>
    <t>Abdulloyev Jamshit Gulomovich</t>
  </si>
  <si>
    <t>Narkuziyev Ruslan Erkinovich</t>
  </si>
  <si>
    <t>Nasirov Faxriddin Narmuradovich</t>
  </si>
  <si>
    <t>Oralov Jasur Sattor o‘g‘li</t>
  </si>
  <si>
    <t>Allamuratov Urakbay Djumabaevich</t>
  </si>
  <si>
    <t>Siddikov Rustambek Maxamadaliyevich</t>
  </si>
  <si>
    <t>Usmonov Ulug‘bek Muxammadjonovich</t>
  </si>
  <si>
    <t>Majidov Baxtiyor Xalilovich</t>
  </si>
  <si>
    <t>Ashurov Dostonjon Xudayberdi o‘g‘li</t>
  </si>
  <si>
    <t>Sadiqov Xasan Gafurovich</t>
  </si>
  <si>
    <t>Jabborov Toshpo’lat G‘ayratovich</t>
  </si>
  <si>
    <t>Nishonov Bekzod Nu’monjonovich</t>
  </si>
  <si>
    <t>Aliqulov Bobur Abdiraxmonovich</t>
  </si>
  <si>
    <t>Kasimov Bekzod Xasanovich</t>
  </si>
  <si>
    <t>Xalilov Zafar Ergashevich</t>
  </si>
  <si>
    <t>Axmedov Azamat Abdugaffarovich</t>
  </si>
  <si>
    <t>Yerjanov Azamat Polatovich</t>
  </si>
  <si>
    <t>Roziqov Isroiljon Abduraximovich</t>
  </si>
  <si>
    <t>Haydarov Zafar Joniqulovich</t>
  </si>
  <si>
    <t>Habibullayev Rustam A’zamovich</t>
  </si>
  <si>
    <t>Tolepbergenov Karamatdin Nuratdinovich</t>
  </si>
  <si>
    <t>Nazirov Ravshanjon Shavkatjonovich</t>
  </si>
  <si>
    <t>Atajanov Azamat Kuralbayevich</t>
  </si>
  <si>
    <t>Sherkuziyev Iskandar Uktamkulovich</t>
  </si>
  <si>
    <t>Otaboyev Otabek Shuxratbekovich</t>
  </si>
  <si>
    <t>Jumayev Umurzoq Oytug‘di o‘g‘li</t>
  </si>
  <si>
    <t>Oralov Mansur Sattorovich</t>
  </si>
  <si>
    <t>Usmonov Jahongir Nurulla o‘g‘li</t>
  </si>
  <si>
    <t>Po‘latov Xojiakbar Bahodir o‘g‘li</t>
  </si>
  <si>
    <t>Zayniddinov Shamsiddin Fazliddin o‘g‘li</t>
  </si>
  <si>
    <t>Abdugafurov Turgunboy Turdivayevich</t>
  </si>
  <si>
    <t>Zakirov Davron Baxtiyorovich</t>
  </si>
  <si>
    <t>Abdullayev Aziz Nigmatullayevich</t>
  </si>
  <si>
    <t>Xabirov Ildar Ilyasovich</t>
  </si>
  <si>
    <t>Xojibekov Oybek Ulug‘bek o‘g‘li</t>
  </si>
  <si>
    <t>Tuldibayev Jumanazar Sulaymanovich</t>
  </si>
  <si>
    <t>Shevyakov Vadim Viktorovich</t>
  </si>
  <si>
    <t>Mirzaaxmedov Jasur Shuxratovich</t>
  </si>
  <si>
    <t>Burxanov Shahzod Muzafar o‘g‘li</t>
  </si>
  <si>
    <t>Pozilxonov Azamat Alisher o‘g‘li</t>
  </si>
  <si>
    <t>Valiyev Komronxon Abbosovich</t>
  </si>
  <si>
    <t>Karimov Davron Farrux o‘g‘li</t>
  </si>
  <si>
    <t>Nigmatov Davronbek Ismatulla o‘g‘li</t>
  </si>
  <si>
    <t>Tankoz Rustem Enverovich</t>
  </si>
  <si>
    <t>Ish boshqaruvchi</t>
  </si>
  <si>
    <t>Abdukarimov Abduvali Abdug‘ani o‘g‘li</t>
  </si>
  <si>
    <t>Yusupov Dilshod Sattaraliyevich</t>
  </si>
  <si>
    <t xml:space="preserve">Kuchkarov Anvarbek Erkinovich </t>
  </si>
  <si>
    <t>Yaxyayev Rasul Xaqqul o'g'li</t>
  </si>
  <si>
    <t>Axmadov Dilmurod Elmurod o'g'li</t>
  </si>
  <si>
    <t>Mirsoatov Dilshod Komil o'g'li</t>
  </si>
  <si>
    <t>Xomidov Rixsitilla Zoxidjon o'g'li</t>
  </si>
  <si>
    <t>Amirov Sardor G'ayratjon o‘g‘li</t>
  </si>
  <si>
    <t>Raxmonov Tolib Rustam o'g'li</t>
  </si>
  <si>
    <t>Muxamedkarimov Farxod Sherzadovich</t>
  </si>
  <si>
    <t>1-toifali mutaxassis</t>
  </si>
  <si>
    <t>S. Egamberdiyev</t>
  </si>
  <si>
    <t>Mengniyozov Farxod Axmad o‘g‘li (o‘rindosh) (0.75)</t>
  </si>
  <si>
    <t>3-toifali mutaxassis</t>
  </si>
  <si>
    <t>Uzakov Xasan Murotovich</t>
  </si>
  <si>
    <t>Bosh mutaxassis (Navoiy)</t>
  </si>
  <si>
    <t>Yetakchi mutaxassis (Namangan)</t>
  </si>
  <si>
    <t>Yetakchi mutaxassis (Xorazm)</t>
  </si>
  <si>
    <t>1-toyifali mutaxassis (Buxoro)</t>
  </si>
  <si>
    <t>1-toyifali mutaxassis (Samarkand)</t>
  </si>
  <si>
    <t>1-toyifali mutaxassis (Jizzax)</t>
  </si>
  <si>
    <t>1-toyifali mutaxassis (Surxandaryo)</t>
  </si>
  <si>
    <t>1-toyifali mutaxassis (Sirdaryo)</t>
  </si>
  <si>
    <t>1-toyifali mutaxassis (Andijon)</t>
  </si>
  <si>
    <t>1-toyifali mutaxassis (Kashkadarya)</t>
  </si>
  <si>
    <t>1-toyifali mutaxassis (Karakalpak)</t>
  </si>
  <si>
    <t>Sattarov Ravshan Ismoil o‘g‘li</t>
  </si>
  <si>
    <t xml:space="preserve">Abduxomidov Musoxon Abduvoxid o‘g‘li </t>
  </si>
  <si>
    <t>Xo‘jamurodov Bobur Tolib o‘g‘li</t>
  </si>
  <si>
    <t>Narzullayev Anvar Shuhrat o‘g‘li</t>
  </si>
  <si>
    <t>Yetakchi mutaxassis (Kashkadarya)</t>
  </si>
  <si>
    <t>Shodmonov Latif Xudayberdiyevich</t>
  </si>
  <si>
    <t>Abdurasulov Baxrom Baxtiyor o‘g‘li</t>
  </si>
  <si>
    <t>1-toyifali mutaxassis (Fargona)</t>
  </si>
  <si>
    <t>1-toyifali mutaxassis (Namangan)</t>
  </si>
  <si>
    <t>1-toyifali mutaxassis (Xorazm)</t>
  </si>
  <si>
    <t>2-toyifali mutaxassis (Fargona)</t>
  </si>
  <si>
    <t>2-toyifali mutaxassis (Xorazm)</t>
  </si>
  <si>
    <t>2-toyifali mutaxassis (Sirdaryo)</t>
  </si>
  <si>
    <t>2-toyifali mutaxassis (Andijon)</t>
  </si>
  <si>
    <t>2-toyifali mutaxassis (Samarkand)</t>
  </si>
  <si>
    <t>3-toyifali mutaxassis (Jizzax)</t>
  </si>
  <si>
    <t>1-toyifali texnik (Buxara)</t>
  </si>
  <si>
    <t xml:space="preserve">Saydazimova Ziyoda Taxirovna </t>
  </si>
  <si>
    <t xml:space="preserve">Ozodjonov Mirabbosbek Isroiljon o‘g‘li </t>
  </si>
  <si>
    <t>Asadullayev Behzodxo‘ja G‘ayrat o‘g‘li (0.5st)</t>
  </si>
  <si>
    <t xml:space="preserve">Ismoilov Dilmurod Baxtiyor o‘g‘li </t>
  </si>
  <si>
    <t xml:space="preserve">Yaxshiliqov Komiljon Ilxomiddin o‘g‘li </t>
  </si>
  <si>
    <t xml:space="preserve">Istamov Xurshid Hazratqul o‘g‘li </t>
  </si>
  <si>
    <t xml:space="preserve">Sirojiddinov Muhiddin Husniddin o‘g‘li </t>
  </si>
  <si>
    <t>Nurxodjayeva Gulnora To‘ychi qizi</t>
  </si>
  <si>
    <t>Bosh mutaxassis (Fargona)</t>
  </si>
  <si>
    <t>Bosh mutaxassis (Buxoro)</t>
  </si>
  <si>
    <t>Yetakchi mutaxassis ( Navoi)</t>
  </si>
  <si>
    <t xml:space="preserve">Shadanov Jasur Xalbayevich </t>
  </si>
  <si>
    <t>Raximjonov Rustamjon Baxtiyor o‘g‘li</t>
  </si>
  <si>
    <t xml:space="preserve">Botirov Elmurod Mirzaxakim o‘g‘li </t>
  </si>
  <si>
    <t xml:space="preserve">Shodiyev Feruz Sirojiddin o‘g‘li </t>
  </si>
  <si>
    <t>Jabborov Sherzod Nabijon o‘g‘li</t>
  </si>
  <si>
    <t>Esanov Sherzod Erkin o‘g‘li</t>
  </si>
  <si>
    <t xml:space="preserve">Eshniyozov Jamshid To‘lqinovich </t>
  </si>
  <si>
    <t>Eshqobilov Abror Po‘lat o‘g‘li</t>
  </si>
  <si>
    <t xml:space="preserve">Suyunov Elnur Abduvoxid o‘g‘li </t>
  </si>
  <si>
    <t xml:space="preserve">Yetakchi mutaxassis </t>
  </si>
  <si>
    <t>Bobomurodov Abbos Ikrom o'g'li</t>
  </si>
  <si>
    <t>Xaydarova Nilufar Orzumurod qizi</t>
  </si>
  <si>
    <t>Shoymardonov Eldor Saydullo o'g'li</t>
  </si>
  <si>
    <t xml:space="preserve">Buzrukov Javoxir Muxiddinovich </t>
  </si>
  <si>
    <t>Abdullayev Raxim Rasulovich</t>
  </si>
  <si>
    <t>Abdurasulov Uchqun Tulkin o‘g‘li</t>
  </si>
  <si>
    <t>Akramov Umidjon Isoq o‘g‘li</t>
  </si>
  <si>
    <t xml:space="preserve">Egamberdiyev Hojiakbar Xolmat o‘g‘li </t>
  </si>
  <si>
    <t>yetakchi mutaxassis</t>
  </si>
  <si>
    <t>Bosh mutaxassis (Toshkent vil)</t>
  </si>
  <si>
    <t>2-toyifali mutaxassis  (Tosh.sh.)</t>
  </si>
  <si>
    <t>2-toyifali mutaxassis (Tash. vil )</t>
  </si>
  <si>
    <t>2-toifali mutaxassis</t>
  </si>
  <si>
    <t>Abdunabiyeva Zilola Abdusattor qizi</t>
  </si>
  <si>
    <t>Raxmatov Dilmurod Xusen o'g'li</t>
  </si>
  <si>
    <t>1-toyifali mutaxassis (Tosh.vil)</t>
  </si>
  <si>
    <t>Egamberdiyev Dilmurod Adxamjon o‘g‘li</t>
  </si>
  <si>
    <t>Abdullayev Akmal Erkinovich</t>
  </si>
  <si>
    <t>Tog'ayev Otamurod Tog'ay o'g'li</t>
  </si>
  <si>
    <t xml:space="preserve">Obidjonov Nuriddin Olimjon o'g'li </t>
  </si>
  <si>
    <t>Raximdjanov Abdurazzoq Rovshan o'g'li</t>
  </si>
  <si>
    <t>Novik Madina Farxadovna (dekret.otp)</t>
  </si>
  <si>
    <t xml:space="preserve">Holmuminov Sherxon Ziyadullayevich </t>
  </si>
  <si>
    <t>2-toyifali mutaxassis (Toshk.vil)</t>
  </si>
  <si>
    <t>Yetakchi mutaxassis (Toshkent vil)</t>
  </si>
  <si>
    <t>Xudayberdiyev Muxammad Azamatovich</t>
  </si>
  <si>
    <t xml:space="preserve">Dizayner  </t>
  </si>
  <si>
    <t>Korporativ maslahatchi-marketolog</t>
  </si>
  <si>
    <t>Korrupsiyaga qarshi kurashish bo'yicha mutaxassis</t>
  </si>
  <si>
    <t>Boshqarma boshlig‘i</t>
  </si>
  <si>
    <t>Boshqarma boshlig‘i o‘rinbosari</t>
  </si>
  <si>
    <t>Call markaz (7)</t>
  </si>
  <si>
    <r>
      <t>Bosh mutaxassis</t>
    </r>
    <r>
      <rPr>
        <sz val="16"/>
        <color theme="1"/>
        <rFont val="Times New Roman"/>
        <family val="1"/>
        <charset val="204"/>
      </rPr>
      <t xml:space="preserve"> (Namangan)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</si>
  <si>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(Karakalpak)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</si>
  <si>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(Andijon)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</si>
  <si>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(Sirdaryo)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</si>
  <si>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(Xorazm)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</si>
  <si>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(Samarkand)</t>
    </r>
  </si>
  <si>
    <r>
      <t xml:space="preserve">Bosh mutaxassis </t>
    </r>
    <r>
      <rPr>
        <sz val="16"/>
        <color theme="1"/>
        <rFont val="Times New Roman"/>
        <family val="1"/>
        <charset val="204"/>
      </rPr>
      <t>(Navoi)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</si>
  <si>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(Surxandaryo)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</si>
  <si>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(Navoi)</t>
    </r>
  </si>
  <si>
    <r>
      <t>Bosh mutaxassis</t>
    </r>
    <r>
      <rPr>
        <sz val="16"/>
        <color theme="1"/>
        <rFont val="Times New Roman"/>
        <family val="1"/>
        <charset val="204"/>
      </rPr>
      <t xml:space="preserve"> (Kashkadarya)</t>
    </r>
  </si>
  <si>
    <t xml:space="preserve">Anarkulov Farhod Narzullayevich </t>
  </si>
  <si>
    <t>3-toyifali mutaxassis (Surxandaryo)</t>
  </si>
  <si>
    <t>Karimov Sa’dullo Ne’matullo o‘g‘li</t>
  </si>
  <si>
    <t>Call markaz boshlig‘i</t>
  </si>
  <si>
    <t>Bo‘lim boshlig‘i-Bosh buxgalter</t>
  </si>
  <si>
    <t>Bo‘lim boshlig‘i o‘rinbosari-Bosh buxgalter o‘rinbosari</t>
  </si>
  <si>
    <t>Hamdullayev Aminjon Zubaydullo o‘g‘li</t>
  </si>
  <si>
    <t>Bahodirov Mirjalol Mirzohid o 'g'li</t>
  </si>
  <si>
    <t>Abduvahabov Nodirbek Abdulzoshim o'g'li</t>
  </si>
  <si>
    <t>Inson resurslarini rivojlantirish bo'yicha bosh mutaxassis</t>
  </si>
  <si>
    <t>Xamitbayev Murod Tursunovich</t>
  </si>
  <si>
    <t>Bosh mutaxassis (Tash.sh)</t>
  </si>
  <si>
    <t>Haydovchi 1-smena  ( 1,5 smena)</t>
  </si>
  <si>
    <t xml:space="preserve">Yetakchi buxgalter </t>
  </si>
  <si>
    <t xml:space="preserve">                  N.Ismailova</t>
  </si>
  <si>
    <t>Salixov Sardor Taxirovich</t>
  </si>
  <si>
    <t>Adoshboyev Botir Dilshodovich</t>
  </si>
  <si>
    <t>Ismoilov Davron Hamroqul o'g'li</t>
  </si>
  <si>
    <t>Kormushin Anton Vyacheslavovich</t>
  </si>
  <si>
    <t>Ahmadjonov Aliakbar Akmal o'g'li</t>
  </si>
  <si>
    <t xml:space="preserve">SHTAT JADVALI </t>
  </si>
  <si>
    <t xml:space="preserve">Baxtiyorov Dilshod Xusniddin o'g'li </t>
  </si>
  <si>
    <t>Ro'zibayev Ismoiljon To'lqinboy o'g'li</t>
  </si>
  <si>
    <t>Qodirov Xusniddin Husenovich</t>
  </si>
  <si>
    <t>Tankoz Ernes Enverovich</t>
  </si>
  <si>
    <r>
      <t>Keldiboyev Javoxirbek Ilxomjon</t>
    </r>
    <r>
      <rPr>
        <b/>
        <sz val="11"/>
        <color rgb="FF000000"/>
        <rFont val="Times New Roman"/>
        <family val="1"/>
        <charset val="204"/>
      </rPr>
      <t xml:space="preserve"> </t>
    </r>
    <r>
      <rPr>
        <b/>
        <sz val="12"/>
        <color rgb="FF000000"/>
        <rFont val="Times New Roman"/>
        <family val="1"/>
        <charset val="204"/>
      </rPr>
      <t xml:space="preserve">o‘g‘li </t>
    </r>
  </si>
  <si>
    <t>Ahmatxonov Nasimxon Nabijon o‘g‘li</t>
  </si>
  <si>
    <t>Tashbaltayev Yusub Buriyevich</t>
  </si>
  <si>
    <t>Ergashev Ismoiljon Sarvarjon o‘g‘li  (0.5 st)</t>
  </si>
  <si>
    <t>Berdiyev Xasan Alimovich</t>
  </si>
  <si>
    <t>Kulayev Elnur Yakubovich</t>
  </si>
  <si>
    <t>Muratbayeva Aziza Dauletbayevna</t>
  </si>
  <si>
    <t>Atadjanov Murod Bekberganovich</t>
  </si>
  <si>
    <t>N.Ismailova</t>
  </si>
  <si>
    <t>O‘zbekiston Respublikasi Iqtisodiyot va moliya vazirligi huzuridagi Axborot texnologiyalari markazi DUKning</t>
  </si>
  <si>
    <t>Shtat birliklarining soni</t>
  </si>
  <si>
    <t>Shtat jadvali bo'yicha bir oylik ish haqi (so'm)</t>
  </si>
  <si>
    <t>Izoh: Shtat jadvaliga umumiy tasdiqlangan xodimlarninig soni doirasida direktor roziligi bilan o'zgartirish kiritish mumkin.</t>
  </si>
  <si>
    <t>Tarkibiy tuzilmalarning nomi va lavozimlar nomi</t>
  </si>
  <si>
    <t xml:space="preserve">Kelishildi:                                                       </t>
  </si>
  <si>
    <t>Direktor birinchi o'rinbosari</t>
  </si>
  <si>
    <t>Bo'lim boshlig'i-bosh buxgalter</t>
  </si>
  <si>
    <t>Ish boshqaruvchisi</t>
  </si>
  <si>
    <t>Bo'lim boshlig'i</t>
  </si>
  <si>
    <t xml:space="preserve">Bo'lim boshlig'i </t>
  </si>
  <si>
    <t>Mengniyozov Farxod Axmad o‘g‘li</t>
  </si>
  <si>
    <t>01.12.2023 dan kuchga kiradi</t>
  </si>
  <si>
    <t>Shtat jadvali bo'yicha jami:</t>
  </si>
  <si>
    <t>Nazarov Nazirjon Baxtiyor ug`li</t>
  </si>
  <si>
    <t>Saydazimova Ziyoda Taxirovna</t>
  </si>
  <si>
    <t>Moliya va iqtisod bo‘limi (2)</t>
  </si>
  <si>
    <t>Inson resurslarini rivojlantirish bo‘limi (3)</t>
  </si>
  <si>
    <t>Rahbariyat qoshidagi apparat (4)</t>
  </si>
  <si>
    <t>Ishlar boshqarmasi (5)</t>
  </si>
  <si>
    <t>Ijro nazorati va murojaatlar bilan ishlash bo'limi(6)</t>
  </si>
  <si>
    <t>Axborot tizimlarini sinovdan o'tkazish sektori boshlig'i</t>
  </si>
  <si>
    <t>Axborot tizimlarini yaratish departamenti (Developing) (9)</t>
  </si>
  <si>
    <t>Axborot va kiberxavfsizlikni ta'minlash bo'limi (8)</t>
  </si>
  <si>
    <t>Backend boshqarmasi boshlig'i</t>
  </si>
  <si>
    <t>Backend boshqarmasi boshlig'i o'rinbosari</t>
  </si>
  <si>
    <t>Frontend boshqarmasi boshlig'i</t>
  </si>
  <si>
    <t>Frontend boshqarmasi boshlig'i o'rinbosari</t>
  </si>
  <si>
    <t>Sun'iy intellekt texnologiyalarini ishlab chiqish va joriy etish bo'limi (10)</t>
  </si>
  <si>
    <t>Axborot tizimlarini loyihalashtirish boshqarmasi (11)</t>
  </si>
  <si>
    <r>
      <t>Axborot tizimlarini yaratish departamenti (Developing)</t>
    </r>
    <r>
      <rPr>
        <b/>
        <sz val="18"/>
        <color rgb="FF000000"/>
        <rFont val="Times New Roman"/>
        <family val="1"/>
        <charset val="204"/>
      </rPr>
      <t xml:space="preserve">: </t>
    </r>
    <r>
      <rPr>
        <b/>
        <i/>
        <sz val="18"/>
        <color rgb="FF000000"/>
        <rFont val="Times New Roman"/>
        <family val="1"/>
        <charset val="204"/>
      </rPr>
      <t>"</t>
    </r>
    <r>
      <rPr>
        <b/>
        <i/>
        <u/>
        <sz val="18"/>
        <color rgb="FF000000"/>
        <rFont val="Times New Roman"/>
        <family val="1"/>
        <charset val="204"/>
      </rPr>
      <t>Backend boshqarmasi</t>
    </r>
    <r>
      <rPr>
        <b/>
        <i/>
        <sz val="18"/>
        <color rgb="FF000000"/>
        <rFont val="Times New Roman"/>
        <family val="1"/>
        <charset val="204"/>
      </rPr>
      <t>" (9.1.)</t>
    </r>
  </si>
  <si>
    <r>
      <t>Axborot tizimlarini yaratish departamenti (Developing)</t>
    </r>
    <r>
      <rPr>
        <b/>
        <sz val="18"/>
        <color rgb="FF000000"/>
        <rFont val="Times New Roman"/>
        <family val="1"/>
        <charset val="204"/>
      </rPr>
      <t xml:space="preserve">: </t>
    </r>
    <r>
      <rPr>
        <b/>
        <i/>
        <sz val="18"/>
        <color rgb="FF000000"/>
        <rFont val="Times New Roman"/>
        <family val="1"/>
        <charset val="204"/>
      </rPr>
      <t>"</t>
    </r>
    <r>
      <rPr>
        <b/>
        <i/>
        <u/>
        <sz val="18"/>
        <color rgb="FF000000"/>
        <rFont val="Times New Roman"/>
        <family val="1"/>
        <charset val="204"/>
      </rPr>
      <t>Frontend boshqarmasi</t>
    </r>
    <r>
      <rPr>
        <b/>
        <i/>
        <sz val="18"/>
        <color rgb="FF000000"/>
        <rFont val="Times New Roman"/>
        <family val="1"/>
        <charset val="204"/>
      </rPr>
      <t>"(9.2.)</t>
    </r>
  </si>
  <si>
    <r>
      <t>Frontend boshqarmasi: 
"</t>
    </r>
    <r>
      <rPr>
        <b/>
        <i/>
        <u/>
        <sz val="18"/>
        <color rgb="FF000000"/>
        <rFont val="Times New Roman"/>
        <family val="1"/>
        <charset val="204"/>
      </rPr>
      <t>Mobil dasturlash sektori</t>
    </r>
    <r>
      <rPr>
        <b/>
        <i/>
        <sz val="18"/>
        <color rgb="FF000000"/>
        <rFont val="Times New Roman"/>
        <family val="1"/>
        <charset val="204"/>
      </rPr>
      <t>"(9.2.1.)</t>
    </r>
  </si>
  <si>
    <r>
      <t>Axborot tizimlarini loyihalashtirish boshqarmasi: 
"</t>
    </r>
    <r>
      <rPr>
        <b/>
        <i/>
        <u/>
        <sz val="18"/>
        <color rgb="FF000000"/>
        <rFont val="Times New Roman"/>
        <family val="1"/>
        <charset val="204"/>
      </rPr>
      <t>Dasturlarda dizayn targ'iboti bo'limi</t>
    </r>
    <r>
      <rPr>
        <b/>
        <i/>
        <sz val="18"/>
        <color rgb="FF000000"/>
        <rFont val="Times New Roman"/>
        <family val="1"/>
        <charset val="204"/>
      </rPr>
      <t>" (11.3.)</t>
    </r>
  </si>
  <si>
    <r>
      <t>Axborot tizimlarini loyihalashtirish boshqarmasi: 
"</t>
    </r>
    <r>
      <rPr>
        <b/>
        <i/>
        <u/>
        <sz val="18"/>
        <color rgb="FF000000"/>
        <rFont val="Times New Roman"/>
        <family val="1"/>
        <charset val="204"/>
      </rPr>
      <t>Axborot tizimlari uslubiyoti va texnik hujjatlar bilan ishlash bo'limi</t>
    </r>
    <r>
      <rPr>
        <b/>
        <i/>
        <sz val="18"/>
        <color rgb="FF000000"/>
        <rFont val="Times New Roman"/>
        <family val="1"/>
        <charset val="204"/>
      </rPr>
      <t>" (11.2.)</t>
    </r>
  </si>
  <si>
    <r>
      <t>Axborot tizimlarini loyihalashtirish boshqarmasi: 
"</t>
    </r>
    <r>
      <rPr>
        <b/>
        <i/>
        <u/>
        <sz val="18"/>
        <color rgb="FF000000"/>
        <rFont val="Times New Roman"/>
        <family val="1"/>
        <charset val="204"/>
      </rPr>
      <t>Loyihalarni amalga oshirish bo'limi" (11.1.)</t>
    </r>
  </si>
  <si>
    <t>Budjetdan mablag' oluvchi tashkilotlar faoliyatini raqamlashtirish boshqarmasi (12)</t>
  </si>
  <si>
    <r>
      <t>Budjetdan mablag' oluvchi tashkilotlar faoliyatini raqamlashtirish boshqarmasi:
"</t>
    </r>
    <r>
      <rPr>
        <b/>
        <i/>
        <u/>
        <sz val="18"/>
        <color rgb="FF000000"/>
        <rFont val="Times New Roman"/>
        <family val="1"/>
        <charset val="204"/>
      </rPr>
      <t>Uzasbo dasturiy majmuasini takomillashtirish bo'limi</t>
    </r>
    <r>
      <rPr>
        <b/>
        <i/>
        <sz val="18"/>
        <color rgb="FF000000"/>
        <rFont val="Times New Roman"/>
        <family val="1"/>
        <charset val="204"/>
      </rPr>
      <t xml:space="preserve">" (12.1.)
</t>
    </r>
  </si>
  <si>
    <t>Axborot tizimlarini texnik qo'llab-quvvatlash boshqarmasi (supporting) (13)</t>
  </si>
  <si>
    <r>
      <t>Axborot tizimlarini texnik qo'llab-quvvatlash boshqarmasi (supporting):
"</t>
    </r>
    <r>
      <rPr>
        <b/>
        <i/>
        <u/>
        <sz val="18"/>
        <color rgb="FF000000"/>
        <rFont val="Times New Roman"/>
        <family val="1"/>
        <charset val="204"/>
      </rPr>
      <t>"VEB" resurslarini ma'murlash sektori</t>
    </r>
    <r>
      <rPr>
        <b/>
        <i/>
        <sz val="18"/>
        <color rgb="FF000000"/>
        <rFont val="Times New Roman"/>
        <family val="1"/>
        <charset val="204"/>
      </rPr>
      <t>" (13.1.)</t>
    </r>
  </si>
  <si>
    <t>Boshqarmasi boshlig'i</t>
  </si>
  <si>
    <t>Sektor boshlig'i</t>
  </si>
  <si>
    <t>01.01.2025 dan kuchga kiradi</t>
  </si>
  <si>
    <t>Davlat moliyasini boshqarish tizimini takomillashtirish bo'limi (14)</t>
  </si>
  <si>
    <t xml:space="preserve">Ma'lumotlar markazi infratuzilmasini muvofiqlashtirish boshqarmasi </t>
  </si>
  <si>
    <t>Server infrastrukturasini boshqarish bo'limini (sys admin) (16)</t>
  </si>
  <si>
    <t>Sektor boshlig‘i</t>
  </si>
  <si>
    <t>Muhandislik sektori (17)</t>
  </si>
  <si>
    <t>Tarmoq infrastukturasini boshqarish bo'limi (net-admin) (18)</t>
  </si>
  <si>
    <t>Ma'lumotlar bazasini boshqarish bo'limi (19)</t>
  </si>
  <si>
    <t xml:space="preserve">Texnik va tarmoq xizmatlarini ko'rsatish boshqarmasi - bo'lim boshlig'i </t>
  </si>
  <si>
    <t>Qurilmalarga texnik xizmat ko'rsatish bo'limi (20)</t>
  </si>
  <si>
    <t>Markazi apparatga texnik va tarmoq xizmatlarini ko'rsatish bo'limi (21)</t>
  </si>
  <si>
    <t>Markazi apparatga texnik va tarmoq xizmatlarini ko'rsatish bo'limi:
Hududlarga texnik va tarmoq xizmatlarini ko'rsatish guruhi(21.1.)</t>
  </si>
  <si>
    <t>Departament direktori</t>
  </si>
  <si>
    <t>Bosh dasturchi</t>
  </si>
  <si>
    <t>Yetakchi dasturchi</t>
  </si>
  <si>
    <t>1-toifali dasturchi</t>
  </si>
  <si>
    <t>2-toifali dasturchi</t>
  </si>
  <si>
    <t>3-toifali dasturchi</t>
  </si>
  <si>
    <t>Bosh mobil dasturchi</t>
  </si>
  <si>
    <t>Yetakchi mobil dasturchi</t>
  </si>
  <si>
    <t>1-toifali mobil dasturchi</t>
  </si>
  <si>
    <t>Boshqarma boshlig'i -bo‘lim boshlig‘i</t>
  </si>
  <si>
    <r>
      <t>Budjetdan mablag' oluvchi tashkilotlar faoliyatini raqamlashtirish boshqarmasi:
"</t>
    </r>
    <r>
      <rPr>
        <b/>
        <i/>
        <u/>
        <sz val="18"/>
        <color rgb="FF000000"/>
        <rFont val="Times New Roman"/>
        <family val="1"/>
        <charset val="204"/>
      </rPr>
      <t>Hududiy budjet tashkilotlari faoliyatini takomillashtirish guruhi</t>
    </r>
    <r>
      <rPr>
        <b/>
        <i/>
        <sz val="18"/>
        <color rgb="FF000000"/>
        <rFont val="Times New Roman"/>
        <family val="1"/>
        <charset val="204"/>
      </rPr>
      <t xml:space="preserve">" (12.2.)
</t>
    </r>
  </si>
  <si>
    <t>Boshqarma boshlig'i o'rinbosari -guruh boshlig‘i</t>
  </si>
  <si>
    <t>Rahbariyat (1.1.)</t>
  </si>
  <si>
    <t>Boshqarma boshlig‘i-bo'lim boshlig'i</t>
  </si>
  <si>
    <t>Boshqarma boshlig'i o'rinbosari -bo‘lim boshlig‘i</t>
  </si>
  <si>
    <t>Bo'lim boshlig'i o'rinbosari-guruh rahbari</t>
  </si>
  <si>
    <t>Lavozim</t>
  </si>
  <si>
    <t>Shtat</t>
  </si>
  <si>
    <t>Oklad</t>
  </si>
  <si>
    <t xml:space="preserve">Koeffitsiyent </t>
  </si>
  <si>
    <t>MHTEKM</t>
  </si>
  <si>
    <t>Bo'lim boshlig'i o'rinbosari</t>
  </si>
  <si>
    <t>Bir shtat birligi uchun tasdiqlangan razryadlar uchun belgilangan tarif koeffisenti bo'yicha lavozim oklad</t>
  </si>
  <si>
    <t>Shtat birliklarining soni bo'yicha lavozim okladi (so'm)</t>
  </si>
  <si>
    <t>Axborot tizimlarini sinovdan o'tkazish bo'yicha bosh mutaxassis</t>
  </si>
  <si>
    <t>F.I.Sh</t>
  </si>
  <si>
    <t>Eshchanov Otabek Kamiljanovich</t>
  </si>
  <si>
    <t xml:space="preserve">Nazarov Nazirjon Baxtiyor ug‘li </t>
  </si>
  <si>
    <t xml:space="preserve">Mamatqulov Yorqin Komiljon o'g'li       </t>
  </si>
  <si>
    <t xml:space="preserve">Mirabbosov Miraziz Forxod o‘g‘li </t>
  </si>
  <si>
    <t xml:space="preserve">Azimboyev Akobir Akrom o'g'li </t>
  </si>
  <si>
    <t xml:space="preserve">Ergashev Ismoiljon Sarvarjon o‘g‘li    </t>
  </si>
  <si>
    <t xml:space="preserve">Ismoilov A’zamjon Sattorjon o‘g‘li </t>
  </si>
  <si>
    <t xml:space="preserve">Abdurasulov Uchqun Tulkin o‘g‘li </t>
  </si>
  <si>
    <t>Axtamov Azim Bahriddin o‘g‘li</t>
  </si>
  <si>
    <t>Toshmatov G'ulomjon Yusupovich</t>
  </si>
  <si>
    <t>Xudaybergenov Davlatbek Toxirovich</t>
  </si>
  <si>
    <t>Novik Madina Farxadovna</t>
  </si>
  <si>
    <t>Moliya-iqtisod bo‘limi (2.1.)</t>
  </si>
  <si>
    <t>Boshqarma boshlig'i</t>
  </si>
  <si>
    <t xml:space="preserve">Boshqarma boshlig'i </t>
  </si>
  <si>
    <t>Boshqarma boshlig'i o'rinbosari "Uzasbo dasturiy majmuasini takomillashtirish bo'limi" boshlig'i</t>
  </si>
  <si>
    <t>Boshqarma boshlig'i o'rinbosari "Hududiy budjet tashkilotlari faoliyatini takomillashtirish bo'limi" boshlig'i</t>
  </si>
  <si>
    <t>Axborot va kiberxavfsizlikni ta'minlash bo'limi (3.1.)</t>
  </si>
  <si>
    <t>Ijro nazorati va murojaatlar bilan ishlash bo'limi(4.1.)</t>
  </si>
  <si>
    <t>Inson resurslarini rivojlantirish bo‘limi (5.1.)</t>
  </si>
  <si>
    <t>Bosh yuriskonsult (6.1.)</t>
  </si>
  <si>
    <t>Korporativ maslahatchi-marketolog (7.1.)</t>
  </si>
  <si>
    <t>Korrupsiyaga qarshi kurashish bo'yicha mutaxassis (8.1.)</t>
  </si>
  <si>
    <t>Ishlar boshqarish bo'limi (9.1.)</t>
  </si>
  <si>
    <t>Call markaz (10.1.)</t>
  </si>
  <si>
    <t>Axborot tizimlarini yaratish departamenti (Developing) (11.1.)</t>
  </si>
  <si>
    <r>
      <t>"</t>
    </r>
    <r>
      <rPr>
        <b/>
        <i/>
        <u/>
        <sz val="18"/>
        <color rgb="FF000000"/>
        <rFont val="Times New Roman"/>
        <family val="1"/>
        <charset val="204"/>
      </rPr>
      <t>Frontend boshqarmasi</t>
    </r>
    <r>
      <rPr>
        <b/>
        <i/>
        <sz val="18"/>
        <color rgb="FF000000"/>
        <rFont val="Times New Roman"/>
        <family val="1"/>
        <charset val="204"/>
      </rPr>
      <t>"(11.2.1.)</t>
    </r>
  </si>
  <si>
    <r>
      <t>"</t>
    </r>
    <r>
      <rPr>
        <b/>
        <i/>
        <u/>
        <sz val="18"/>
        <color rgb="FF000000"/>
        <rFont val="Times New Roman"/>
        <family val="1"/>
        <charset val="204"/>
      </rPr>
      <t>Backend boshqarmasi</t>
    </r>
    <r>
      <rPr>
        <b/>
        <i/>
        <sz val="18"/>
        <color rgb="FF000000"/>
        <rFont val="Times New Roman"/>
        <family val="1"/>
        <charset val="204"/>
      </rPr>
      <t>" (11.1.1.)</t>
    </r>
  </si>
  <si>
    <r>
      <t>"</t>
    </r>
    <r>
      <rPr>
        <b/>
        <i/>
        <u/>
        <sz val="18"/>
        <color rgb="FF000000"/>
        <rFont val="Times New Roman"/>
        <family val="1"/>
        <charset val="204"/>
      </rPr>
      <t>Mobil dasturlash sektori</t>
    </r>
    <r>
      <rPr>
        <b/>
        <i/>
        <sz val="18"/>
        <color rgb="FF000000"/>
        <rFont val="Times New Roman"/>
        <family val="1"/>
        <charset val="204"/>
      </rPr>
      <t>"(11.2.2.)</t>
    </r>
  </si>
  <si>
    <t>Sun'iy intellekt texnologiyalarini ishlab chiqish va joriy etish bo'limi (11.3.)</t>
  </si>
  <si>
    <t>Axborot tizimlarini loyihalashtirish boshqarmasi (11.4.)</t>
  </si>
  <si>
    <r>
      <t>"</t>
    </r>
    <r>
      <rPr>
        <b/>
        <i/>
        <u/>
        <sz val="18"/>
        <color rgb="FF000000"/>
        <rFont val="Times New Roman"/>
        <family val="1"/>
        <charset val="204"/>
      </rPr>
      <t>Loyihalarni amalga oshirish bo'limi" (11.4.1.)</t>
    </r>
  </si>
  <si>
    <r>
      <t>"</t>
    </r>
    <r>
      <rPr>
        <b/>
        <i/>
        <u/>
        <sz val="18"/>
        <color rgb="FF000000"/>
        <rFont val="Times New Roman"/>
        <family val="1"/>
        <charset val="204"/>
      </rPr>
      <t>Axborot tizimlari uslubiyoti va texnik hujjatlar bilan ishlash bo'limi</t>
    </r>
    <r>
      <rPr>
        <b/>
        <i/>
        <sz val="18"/>
        <color rgb="FF000000"/>
        <rFont val="Times New Roman"/>
        <family val="1"/>
        <charset val="204"/>
      </rPr>
      <t>" (11.4.2.)</t>
    </r>
  </si>
  <si>
    <r>
      <t>"</t>
    </r>
    <r>
      <rPr>
        <b/>
        <i/>
        <u/>
        <sz val="18"/>
        <color rgb="FF000000"/>
        <rFont val="Times New Roman"/>
        <family val="1"/>
        <charset val="204"/>
      </rPr>
      <t>Dasturlarda dizayn targ'iboti bo'limi</t>
    </r>
    <r>
      <rPr>
        <b/>
        <i/>
        <sz val="18"/>
        <color rgb="FF000000"/>
        <rFont val="Times New Roman"/>
        <family val="1"/>
        <charset val="204"/>
      </rPr>
      <t>" (11.4.3.)</t>
    </r>
  </si>
  <si>
    <t>Budjetdan mablag' oluvchi tashkilotlar faoliyatini raqamlashtirish boshqarmasi (12.1.)</t>
  </si>
  <si>
    <r>
      <t>"</t>
    </r>
    <r>
      <rPr>
        <b/>
        <i/>
        <u/>
        <sz val="18"/>
        <color rgb="FF000000"/>
        <rFont val="Times New Roman"/>
        <family val="1"/>
        <charset val="204"/>
      </rPr>
      <t>Uzasbo dasturiy majmuasini takomillashtirish bo'limi</t>
    </r>
    <r>
      <rPr>
        <b/>
        <i/>
        <sz val="18"/>
        <color rgb="FF000000"/>
        <rFont val="Times New Roman"/>
        <family val="1"/>
        <charset val="204"/>
      </rPr>
      <t xml:space="preserve">" (12.1.1.)
</t>
    </r>
  </si>
  <si>
    <r>
      <t>"</t>
    </r>
    <r>
      <rPr>
        <b/>
        <i/>
        <u/>
        <sz val="18"/>
        <color rgb="FF000000"/>
        <rFont val="Times New Roman"/>
        <family val="1"/>
        <charset val="204"/>
      </rPr>
      <t>Hududiy budjet tashkilotlari faoliyatini takomillashtirish bo'limi</t>
    </r>
    <r>
      <rPr>
        <b/>
        <i/>
        <sz val="18"/>
        <color rgb="FF000000"/>
        <rFont val="Times New Roman"/>
        <family val="1"/>
        <charset val="204"/>
      </rPr>
      <t xml:space="preserve">" (12.1.2.)
</t>
    </r>
  </si>
  <si>
    <t>Axborot tizimlarini texnik qo'llab-quvvatlash boshqarmasi (supporting) (13.1.)</t>
  </si>
  <si>
    <r>
      <t>"</t>
    </r>
    <r>
      <rPr>
        <b/>
        <i/>
        <u/>
        <sz val="18"/>
        <color rgb="FF000000"/>
        <rFont val="Times New Roman"/>
        <family val="1"/>
        <charset val="204"/>
      </rPr>
      <t>VEB" resurslarini ma'murlash sektori</t>
    </r>
    <r>
      <rPr>
        <b/>
        <i/>
        <sz val="18"/>
        <color rgb="FF000000"/>
        <rFont val="Times New Roman"/>
        <family val="1"/>
        <charset val="204"/>
      </rPr>
      <t>" (13.2.)</t>
    </r>
  </si>
  <si>
    <t>Davlat moliyasini boshqarish tizimini takomillashtirish bo'limi (14.1.)</t>
  </si>
  <si>
    <t>Ma'lumotlar markazi infratuzilmasini muvofiqlashtirish boshqarmasi (15.1.)</t>
  </si>
  <si>
    <t>Server infrastrukturasini boshqarish bo'limini (sys admin) (15.1.1.)</t>
  </si>
  <si>
    <t>Muhandislik sektori (Devops)(15.2.1.)</t>
  </si>
  <si>
    <t>Tarmoq infrastukturasini boshqarish bo'limi (net-admin)(15.3.1.)</t>
  </si>
  <si>
    <t>Ma'lumotlar bazasini boshqarish bo'limi (15.4.1.)</t>
  </si>
  <si>
    <t>Qurilmalarga texnik xizmat ko'rsatish bo'limi (15.5.1.)</t>
  </si>
  <si>
    <t>Texnik va tarmoq xizmatlarini ko'rsatish boshqarmasi - bo'lim boshlig'i (16.1.)</t>
  </si>
  <si>
    <t>Markazi apparatga texnik va tarmoq xizmatlarini ko'rsatish bo'limi (16.1.1.)</t>
  </si>
  <si>
    <t>Hududlarga texnik va tarmoq xizmatlarini ko'rsatish guruhi(16.1.2.)</t>
  </si>
  <si>
    <t>Texnik va tarmoq xizmatlarini ko'rsatish boshqarmasi (16.1.)</t>
  </si>
  <si>
    <t>01.05.2025-yil</t>
  </si>
  <si>
    <t>Hududlarga texnik va tarmoq xizmatlarini ko'rsatish bo'limi(16.1.2.)</t>
  </si>
  <si>
    <t>Bosh buxgalter</t>
  </si>
  <si>
    <t>Bosh buxgalter o‘rinbosari</t>
  </si>
  <si>
    <t>Axborot xavfsizligi bo'yicha yetakchi mutaxassis</t>
  </si>
  <si>
    <t>Axborot tizimlarini sinovdan o'tkazish bo'yicha yetakchi mutaxassis</t>
  </si>
  <si>
    <t>Vakant</t>
  </si>
  <si>
    <t>Abduvahabov Nodirbek Abdulxoshim o'g'li</t>
  </si>
  <si>
    <t>Rahimov Abdurazzoq Ravshan o'g'li</t>
  </si>
  <si>
    <t>Sadirov Izzatillo Zaylobiddin o'g'li</t>
  </si>
  <si>
    <t xml:space="preserve">Sirojov Dilshod Anvar o'g'li </t>
  </si>
  <si>
    <t xml:space="preserve">Yursunjonov Shohruhbek Yusuf o'g'li </t>
  </si>
  <si>
    <t>Mashrabjonov Furqatbek Farxodjon o‘g‘li</t>
  </si>
  <si>
    <t xml:space="preserve">Tashpulatov Sadriddin Sayfulloyevich </t>
  </si>
  <si>
    <t xml:space="preserve">Novik Madina Farxadovna    </t>
  </si>
  <si>
    <t xml:space="preserve">Sodiqov Xumoyunmirzo Nurilla o‘g‘li (0,5 stavka)  </t>
  </si>
  <si>
    <t xml:space="preserve">vakant </t>
  </si>
  <si>
    <t>Yetakchi mutaxassis (Toshkent shah.)</t>
  </si>
  <si>
    <t>Maxmudjonov Adxamjon Axmadjon o'g'li</t>
  </si>
  <si>
    <t>1-toifali mutaxassis (Toshkent shah.)</t>
  </si>
  <si>
    <t>Yetakchi mutaxassis (Toshkent vil.)</t>
  </si>
  <si>
    <t>1-toifali mutaxassis (Toshkent vil.)</t>
  </si>
  <si>
    <t>Pulatov Abbos G'ulomjon o'g'li (0.5)</t>
  </si>
  <si>
    <r>
      <t>"</t>
    </r>
    <r>
      <rPr>
        <b/>
        <i/>
        <u/>
        <sz val="14"/>
        <color rgb="FF000000"/>
        <rFont val="Times New Roman"/>
        <family val="1"/>
        <charset val="204"/>
      </rPr>
      <t>Backend boshqarmasi</t>
    </r>
    <r>
      <rPr>
        <b/>
        <i/>
        <sz val="14"/>
        <color rgb="FF000000"/>
        <rFont val="Times New Roman"/>
        <family val="1"/>
        <charset val="204"/>
      </rPr>
      <t>" (11.1.1.)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</si>
  <si>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Frontend boshqarmasi</t>
    </r>
    <r>
      <rPr>
        <b/>
        <i/>
        <sz val="14"/>
        <color rgb="FF000000"/>
        <rFont val="Times New Roman"/>
        <family val="1"/>
        <charset val="204"/>
      </rPr>
      <t>"(11.2.1.)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</si>
  <si>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Mobil dasturlash sektori</t>
    </r>
    <r>
      <rPr>
        <b/>
        <i/>
        <sz val="14"/>
        <color rgb="FF000000"/>
        <rFont val="Times New Roman"/>
        <family val="1"/>
        <charset val="204"/>
      </rPr>
      <t>"(11.2.2.)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</si>
  <si>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Loyihalarni amalga oshirish bo'limi" (11.4.1.)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</si>
  <si>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Axborot tizimlari uslubiyoti va texnik hujjatlar bilan ishlash bo'limi</t>
    </r>
    <r>
      <rPr>
        <b/>
        <i/>
        <sz val="14"/>
        <color rgb="FF000000"/>
        <rFont val="Times New Roman"/>
        <family val="1"/>
        <charset val="204"/>
      </rPr>
      <t>" (11.4.2.)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</si>
  <si>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Dasturlarda dizayn targ'iboti bo'limi</t>
    </r>
    <r>
      <rPr>
        <b/>
        <i/>
        <sz val="14"/>
        <color rgb="FF000000"/>
        <rFont val="Times New Roman"/>
        <family val="1"/>
        <charset val="204"/>
      </rPr>
      <t>" (11.4.3.)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</si>
  <si>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Uzasbo dasturiy majmuasini takomillashtirish bo'limi</t>
    </r>
    <r>
      <rPr>
        <b/>
        <i/>
        <sz val="14"/>
        <color rgb="FF000000"/>
        <rFont val="Times New Roman"/>
        <family val="1"/>
        <charset val="204"/>
      </rPr>
      <t xml:space="preserve">" (12.1.1.)
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</si>
  <si>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Hududiy budjet tashkilotlari faoliyatini takomillashtirish bo'limi</t>
    </r>
    <r>
      <rPr>
        <b/>
        <i/>
        <sz val="14"/>
        <color rgb="FF000000"/>
        <rFont val="Times New Roman"/>
        <family val="1"/>
        <charset val="204"/>
      </rPr>
      <t xml:space="preserve">" (12.1.2.)
</t>
    </r>
  </si>
  <si>
    <r>
      <t>"</t>
    </r>
    <r>
      <rPr>
        <b/>
        <i/>
        <u/>
        <sz val="14"/>
        <color rgb="FF000000"/>
        <rFont val="Times New Roman"/>
        <family val="1"/>
        <charset val="204"/>
      </rPr>
      <t>VEB" resurslarini ma'murlash sektori</t>
    </r>
    <r>
      <rPr>
        <b/>
        <i/>
        <sz val="14"/>
        <color rgb="FF000000"/>
        <rFont val="Times New Roman"/>
        <family val="1"/>
        <charset val="204"/>
      </rPr>
      <t>" (13.2.)</t>
    </r>
  </si>
  <si>
    <t>Markaziy apparatga texnik va tarmoq xizmatlarini ko'rsatish bo'limi (16.1.1.)</t>
  </si>
  <si>
    <t>Ismailova Nafisa Amangeldiyevna (137)</t>
  </si>
  <si>
    <t>Eshchanov Otabek Kamiljanovich (-)</t>
  </si>
  <si>
    <t>Kulayev Elnur Yakubovich (144)</t>
  </si>
  <si>
    <t>Zaripbayev Bunyod Baxrom o'g'li</t>
  </si>
  <si>
    <t>Sulaymanov Islom Sherzod o'g'li</t>
  </si>
  <si>
    <t xml:space="preserve">Buzrukov Jahongir Muxiddinovich </t>
  </si>
  <si>
    <t xml:space="preserve">Abduraximov Abdusaid Toxir o‘g‘li </t>
  </si>
  <si>
    <t xml:space="preserve">Abdusamadova Soburabonu Abdug‘ani qizi </t>
  </si>
  <si>
    <t>Valiyev Komronxon Abbosovich (144)</t>
  </si>
  <si>
    <t xml:space="preserve">Zakirov Davron Baxtiyorovich </t>
  </si>
  <si>
    <t>Sardor (0.5)</t>
  </si>
  <si>
    <t>Djalalova Zuxra Axrarovna  (137)</t>
  </si>
  <si>
    <t xml:space="preserve">Ziyodullayev Umidjon Yusufovich   </t>
  </si>
  <si>
    <t xml:space="preserve">Asadullayev Behzodxo‘ja G‘ayrat o‘g‘li </t>
  </si>
  <si>
    <t xml:space="preserve">Qobulov Muhammaddiyor Nodirbek o‘g‘li   </t>
  </si>
  <si>
    <t>Kamoliddinov Ozodbek Farxodjon o'g'li</t>
  </si>
  <si>
    <t>Mo'minov Asliddin Shuxrat o'g'li</t>
  </si>
  <si>
    <t>Saydaliyev Abdurauf</t>
  </si>
  <si>
    <t>Obidjonov Nuriddin Olimjon o'g'li</t>
  </si>
  <si>
    <t>Valiyev Bekzodjon</t>
  </si>
  <si>
    <t>Otajonov Quvonchbek</t>
  </si>
  <si>
    <t>Mannonov Bobur</t>
  </si>
  <si>
    <t>Egambergenov Asadbek</t>
  </si>
  <si>
    <t>Amirov Shaxzod</t>
  </si>
  <si>
    <t>Pulatjonov Abdulaziz</t>
  </si>
  <si>
    <t>Mehmonquziyev Muhammad Sodiq</t>
  </si>
  <si>
    <t>Odilov Alisher</t>
  </si>
  <si>
    <t>Jo`rayev Qobiljon Turg`un o`g`li</t>
  </si>
  <si>
    <t>Yetakchi mutaxassis(Andjion)</t>
  </si>
  <si>
    <t>Yetakchi mutaxassis(Buxoro)</t>
  </si>
  <si>
    <t>Yetakchi mutaxassis(Sirdaryo)</t>
  </si>
  <si>
    <t>Yetakchi mutaxassis(Jizzax)</t>
  </si>
  <si>
    <t>Yetakchi mutaxassis(Namangan)</t>
  </si>
  <si>
    <t>Yetakchi mutaxassis(Farg'ona)</t>
  </si>
  <si>
    <t>Yetakchi mutaxassis(Navoiy)</t>
  </si>
  <si>
    <t>Yetakchi mutaxassis(Surxondaryo)</t>
  </si>
  <si>
    <t>Yetakchi mutaxassis(Qashqadaryo)</t>
  </si>
  <si>
    <t>Yetakchi mutaxassis(Xorazm)</t>
  </si>
  <si>
    <t>Yetakchi mutaxassis(Samarqand)</t>
  </si>
  <si>
    <t>Yetakchi mutaxassis(Qoraqalpog'iston)</t>
  </si>
  <si>
    <t>1-toifali mutaxassis(Jizzax)</t>
  </si>
  <si>
    <t>2-toifali mutaxassis(Farg'ona)</t>
  </si>
  <si>
    <t>2-toifali mutaxassis(Andjion)</t>
  </si>
  <si>
    <t>2-toifali mutaxassis(Samarqand)</t>
  </si>
  <si>
    <t>1-toifali mutaxassis(Namangan)</t>
  </si>
  <si>
    <t>1-toifali mutaxassis(Samarqand)</t>
  </si>
  <si>
    <t>2-toifali mutaxassis(Sirdaryo)</t>
  </si>
  <si>
    <t>3-toifali mutaxassis(Jizzax)</t>
  </si>
  <si>
    <t>3-toifali mutaxassis (Xorazm)</t>
  </si>
  <si>
    <t>3-toifali mutaxassis (Qoraqalpog'iston)</t>
  </si>
  <si>
    <t>2-toifali mutaxassis (Buxoro)</t>
  </si>
  <si>
    <t>3-toifali mutaxassis (Qashqadaryo)</t>
  </si>
  <si>
    <t>Xiloloddinov</t>
  </si>
  <si>
    <t>Salixov</t>
  </si>
  <si>
    <t>Xo'jamur bobur</t>
  </si>
  <si>
    <t>3-toifali mutaxassis Tosh vil</t>
  </si>
  <si>
    <t>2-toifali mutaxassis (Farg'ona)</t>
  </si>
  <si>
    <t>3-toifali mutaxassis (Toshkent vil.)</t>
  </si>
  <si>
    <t>1-toifali mutaxassis (Navoiy)</t>
  </si>
  <si>
    <t>1-toifali mutaxassis (Farg'ona)</t>
  </si>
  <si>
    <t>2-toifali mutaxassis(Surxondaryo)</t>
  </si>
  <si>
    <t xml:space="preserve">Sodiqov Xumoyunmirzo Nurilla o‘g‘li (0,75 stavka)  </t>
  </si>
  <si>
    <t>1-toifali mutaxassis (Navoiy vil)</t>
  </si>
  <si>
    <t>1-toifali mutaxassis (Qoraqalpoq/Res)</t>
  </si>
  <si>
    <t>1-toifali mutaxassis  (Andijon vil.)</t>
  </si>
  <si>
    <t>1-toifali mutaxassis (Qashqadaryo vil.)</t>
  </si>
  <si>
    <t>1-toifali mutaxassis (Sirdaryo vil.)</t>
  </si>
  <si>
    <t>1-toifali mutaxassis (Jizzax vil.)</t>
  </si>
  <si>
    <t>1-toifali mutaxassis (Samarqand vil.)</t>
  </si>
  <si>
    <t>1-toifali mutaxassis (Buxoro vil.)</t>
  </si>
  <si>
    <t>1-toifali mutaxassis (Surxondaryo  vil.)</t>
  </si>
  <si>
    <t>1-toifali mutaxassis (Xorazm vil.)</t>
  </si>
  <si>
    <t>1-toifali mutaxassis (Namangan vil.)</t>
  </si>
  <si>
    <t>1-toifali mutaxassis (Farg'ona vil.)</t>
  </si>
  <si>
    <t xml:space="preserve">Uzakov Xasan Murotovich </t>
  </si>
  <si>
    <t>Eshniyozov Jamshid To'lqinovich</t>
  </si>
  <si>
    <t>Yetakchi mutaxassis  (Toshkent sh/)</t>
  </si>
  <si>
    <t>1-toifali mutaxassis  (Toshkent vil.)</t>
  </si>
  <si>
    <t xml:space="preserve">Eshchanov Otabek Kamiljanovich </t>
  </si>
  <si>
    <t xml:space="preserve">Mengniyozov Farxod Axmad o‘g‘li </t>
  </si>
  <si>
    <t xml:space="preserve">Djalalova Zuxra Axrarovna  </t>
  </si>
  <si>
    <t xml:space="preserve">Valiyev Komronxon Abbosovich </t>
  </si>
  <si>
    <t xml:space="preserve">Ismailova Nafisa Amangeldiyevna </t>
  </si>
  <si>
    <t xml:space="preserve">Asadov Saidamirxon Maxmudxon o‘g‘li </t>
  </si>
  <si>
    <t xml:space="preserve">Kulayev Elnur Yakubovich </t>
  </si>
  <si>
    <t>Saydaliyev Abdurauf Akbarali o'g'li</t>
  </si>
  <si>
    <t>Qambarov Saidamin Begzod o‘g‘li</t>
  </si>
  <si>
    <t xml:space="preserve">Ismailov Daston Nishanovich </t>
  </si>
  <si>
    <t xml:space="preserve">Mannonov Boburjon Raxmatjon o‘g‘li </t>
  </si>
  <si>
    <t>Yegambergenov Asadbek Gafurjon o‘g‘li</t>
  </si>
  <si>
    <t>Jo‘rayev Qobiljon Turg‘un o`g`li</t>
  </si>
  <si>
    <t xml:space="preserve">Mexmonqo‘ziyev Muxammadsodiq Voxidjon o‘g‘li </t>
  </si>
  <si>
    <t>Soliyev Muslimek Ma'murjon o'g'li</t>
  </si>
  <si>
    <t xml:space="preserve">Xasanboyev Bahramjon Soxibjon o‘g‘li </t>
  </si>
  <si>
    <t xml:space="preserve">Toxirov Murodjon Zokirjon o‘g‘li </t>
  </si>
  <si>
    <t xml:space="preserve">Abdusalomov Boburjon Lutfullo o‘g‘li </t>
  </si>
  <si>
    <t>Abduraximov Baxtiyor Abdumannob o'g'li</t>
  </si>
  <si>
    <t>Maxmudov Izzatilla Ildor o'g'li</t>
  </si>
  <si>
    <t>Berdiyorov Abrorjon Azamat o'g'li</t>
  </si>
  <si>
    <t xml:space="preserve">Umarov Doniyor Obidjon o‘g‘li </t>
  </si>
  <si>
    <t xml:space="preserve">Amirov Shahzod Farxod o‘g‘li </t>
  </si>
  <si>
    <t>O'tkirov Ilxom Xayot o'g'li</t>
  </si>
  <si>
    <t xml:space="preserve">Xudoyberdiyev Nodir Odil o‘g‘li </t>
  </si>
  <si>
    <t xml:space="preserve">Kadirova Laylo Imomaliyevna </t>
  </si>
  <si>
    <t xml:space="preserve">Boymanov Elyorjon Eshmurod o‘g‘li </t>
  </si>
  <si>
    <t>Karimova Irina Shuhratovna</t>
  </si>
  <si>
    <t xml:space="preserve">Erkaboyev Suxrob Begali o'g'li </t>
  </si>
  <si>
    <t xml:space="preserve">Ilxomov Shoxboz </t>
  </si>
  <si>
    <t>Muxammadjonov Samandar O‘ktamjon o‘g‘li</t>
  </si>
  <si>
    <t xml:space="preserve">Haydovchi 1-smena  </t>
  </si>
  <si>
    <t>Tursunov Ayyubxon Alisher o‘g‘li</t>
  </si>
  <si>
    <t>Marifov Farruxbek Farxod o‘g‘li</t>
  </si>
  <si>
    <t xml:space="preserve">Abdurasulov Bekjon Utkirjon o‘g‘li </t>
  </si>
  <si>
    <t xml:space="preserve">Ro‘ziboyev Arslon Alimovich </t>
  </si>
  <si>
    <t>Ustama</t>
  </si>
  <si>
    <t>Summa</t>
  </si>
  <si>
    <t xml:space="preserve">Salohiddinov Javoxir Davron o‘g‘li  </t>
  </si>
  <si>
    <t xml:space="preserve">Ikromov Isroil Ilhomovich </t>
  </si>
  <si>
    <t>Nizomov Shoxrux Shomurod o‘g‘li</t>
  </si>
  <si>
    <t xml:space="preserve">Mamasoliyev Xurmatillo Raxmatillo o‘g‘li </t>
  </si>
  <si>
    <t xml:space="preserve">Obidjonov Asrorbek A’zamjon o‘g‘li </t>
  </si>
  <si>
    <t>Shodmonov Avazbek Umar o‘g‘li</t>
  </si>
  <si>
    <t xml:space="preserve">Berdimurodov Azamat Axror o‘g‘li </t>
  </si>
  <si>
    <t>pitaniye</t>
  </si>
  <si>
    <t>foizi</t>
  </si>
  <si>
    <t>okLAD</t>
  </si>
  <si>
    <t xml:space="preserve">Miraxmatov Mirmuxsin Mirmaxmudovich </t>
  </si>
  <si>
    <t>Hatamjonov Nazirjon Hatamjon o'g'li</t>
  </si>
  <si>
    <t xml:space="preserve">Orziyev Orzibek Fazliddin o‘g‘li </t>
  </si>
  <si>
    <t>Eshmurzayev Shahriyor Shodiyor o‘g‘li</t>
  </si>
  <si>
    <t xml:space="preserve">Saydraxmonov Azizxo‘ja Umidjon o‘g‘li </t>
  </si>
  <si>
    <t xml:space="preserve">To‘xtanazarov Axmadjon Alijon o‘g‘li </t>
  </si>
  <si>
    <t>Call markaz</t>
  </si>
  <si>
    <t>Moliya-iqtisod bo‘limi</t>
  </si>
  <si>
    <t>F.I.O</t>
  </si>
  <si>
    <t>Rahbariyat (IVS)</t>
  </si>
  <si>
    <t>Axborot xavfsizligi va sinov bo'limi</t>
  </si>
  <si>
    <t>Ijro nazorati va murojaatlar bilan ishlash bo'limi</t>
  </si>
  <si>
    <t>Inson resurslarini rivojlantirish bo‘limi</t>
  </si>
  <si>
    <t>Hududlarga texnik va tarmoq xizmatlarini ko'rsatish bo'limi</t>
  </si>
  <si>
    <t>Markaziy apparatga texnik va tarmoq xizmatlarini ko'rsatish bo'limi</t>
  </si>
  <si>
    <t>Texnik va tarmoq xizmatlarini ko'rsatish boshqarmasi</t>
  </si>
  <si>
    <t>Qurilmalarga texnik xizmat ko'rsatish bo'limi</t>
  </si>
  <si>
    <t>Ma'lumotlar bazasini boshqarish bo'limi</t>
  </si>
  <si>
    <t>Abdilvaxobova Mohlaroyim Otabek qizi</t>
  </si>
  <si>
    <t>Tarmoq infrastukturasini boshqarish bo'limi (net-admin)</t>
  </si>
  <si>
    <t>Muhandislik sektori (Devops)</t>
  </si>
  <si>
    <t>Server infrastrukturasini boshqarish bo'limini (sys admin)</t>
  </si>
  <si>
    <t>Davlat moliyasini boshqarish tizimini takomillashtirish bo'limi</t>
  </si>
  <si>
    <t>VEB resurslarini ma'murlash sektori</t>
  </si>
  <si>
    <t>Axborot tizimlarini texnik qo'llab-quvvatlash boshqarmasi (supporting)</t>
  </si>
  <si>
    <t xml:space="preserve">Hududiy budjet tashkilotlari faoliyatini takomillashtirish bo'limi
</t>
  </si>
  <si>
    <t xml:space="preserve">Uzasbo dasturiy majmuasini takomillashtirish bo'limi
</t>
  </si>
  <si>
    <t>Budjetdan mablag' oluvchi tashkilotlar faoliyatini raqamlashtirish boshqarmasi</t>
  </si>
  <si>
    <t>Ishlarni boshqarish bo'limi</t>
  </si>
  <si>
    <t>Axborot tizimlarini yaratish departamenti (Developing)</t>
  </si>
  <si>
    <t>Backend boshqarmasi</t>
  </si>
  <si>
    <t>Frontend boshqarmasi</t>
  </si>
  <si>
    <t>Mobil dasturlash sektori</t>
  </si>
  <si>
    <t>Sun'iy intellekt texnologiyalarini ishlab chiqish va joriy etish bo'limi</t>
  </si>
  <si>
    <t>Axborot tizimlarini loyihalashtirish boshqarmasi</t>
  </si>
  <si>
    <t>Loyihalarni amalga oshirish bo'limi</t>
  </si>
  <si>
    <t>Axborot tizimlari uslubiyoti va texnik hujjatlar bilan ishlash bo'limi</t>
  </si>
  <si>
    <t>Dasturlarda dizayn targ'iboti bo'limi</t>
  </si>
  <si>
    <t xml:space="preserve">Abdulxayev Jayxuntilla Qudratilla o'g'li </t>
  </si>
  <si>
    <t xml:space="preserve">Sobirjonov Asadbek Ortiqjon o‘g‘li </t>
  </si>
  <si>
    <t xml:space="preserve">Hazratqulov Sirojiddin Fazliddinovich  </t>
  </si>
  <si>
    <t>DEP</t>
  </si>
  <si>
    <t>LAVOZIM</t>
  </si>
  <si>
    <t>Sodiqov Xumoyunmirzo Nurilla o‘g‘li</t>
  </si>
  <si>
    <t>Munavvarov Anvarxon Mutalibxon o'g'li</t>
  </si>
  <si>
    <t>Asadullayev Behzodxo‘ja G‘ayrat o‘g‘li</t>
  </si>
  <si>
    <t>Yodgorova Diyora Doniyor qizi</t>
  </si>
  <si>
    <t>Pulatov Abbos G'ulomjon o'g'li</t>
  </si>
  <si>
    <t>Ergashev Sardor Xoshimjonovich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</si>
</sst>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Arial Cyr"/>
      <family val="2"/>
      <charset val="204"/>
    </font>
    <font>
      <b/>
      <i/>
      <sz val="18"/>
      <color theme="1"/>
      <name val="Times New Roman"/>
      <family val="1"/>
      <charset val="204"/>
    </font>
    <font>
      <b/>
      <sz val="12"/>
      <name val="Arial Cyr"/>
      <family val="2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8"/>
      <color rgb="FF000000"/>
      <name val="Times New Roman"/>
      <family val="1"/>
      <charset val="204"/>
    </font>
    <font>
      <b/>
      <i/>
      <u/>
      <sz val="18"/>
      <color rgb="FF00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rgb="FFFF0000"/>
      <name val="Arial Cyr"/>
    </font>
    <font>
      <sz val="16"/>
      <color theme="1"/>
      <name val="Times"/>
      <charset val="204"/>
    </font>
    <font>
      <sz val="16"/>
      <color rgb="FFFF0000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u/>
      <sz val="14"/>
      <color rgb="FF000000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266">
    <xf numFmtId="0" fontId="0" fillId="0" borderId="0" xfId="0"/>
    <xf numFmtId="0" fontId="3" fillId="0" borderId="4" xfId="0" applyFont="1" applyBorder="1" applyAlignment="1">
      <alignment vertical="center" wrapText="1"/>
    </xf>
    <xf numFmtId="4" fontId="3" fillId="0" borderId="4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4" fontId="1" fillId="0" borderId="0" xfId="0" applyNumberFormat="1" applyFont="1"/>
    <xf numFmtId="0" fontId="7" fillId="0" borderId="0" xfId="0" applyFont="1"/>
    <xf numFmtId="0" fontId="3" fillId="0" borderId="0" xfId="0" applyFont="1"/>
    <xf numFmtId="4" fontId="3" fillId="0" borderId="0" xfId="0" applyNumberFormat="1" applyFont="1"/>
    <xf numFmtId="4" fontId="2" fillId="0" borderId="0" xfId="0" applyNumberFormat="1" applyFont="1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4" fontId="3" fillId="0" borderId="6" xfId="0" applyNumberFormat="1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" fontId="15" fillId="0" borderId="7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4" fontId="6" fillId="0" borderId="0" xfId="0" applyNumberFormat="1" applyFont="1" applyAlignment="1">
      <alignment horizontal="left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4" fontId="6" fillId="0" borderId="6" xfId="0" quotePrefix="1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18" fillId="0" borderId="0" xfId="0" applyFont="1"/>
    <xf numFmtId="165" fontId="18" fillId="0" borderId="0" xfId="0" applyNumberFormat="1" applyFont="1"/>
    <xf numFmtId="0" fontId="6" fillId="0" borderId="0" xfId="0" applyFont="1" applyAlignment="1">
      <alignment horizontal="center" vertical="center"/>
    </xf>
    <xf numFmtId="4" fontId="7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2" xfId="0" quotePrefix="1" applyFont="1" applyBorder="1" applyAlignment="1">
      <alignment horizontal="left" vertical="center" wrapText="1"/>
    </xf>
    <xf numFmtId="14" fontId="16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" fontId="15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4" fontId="3" fillId="0" borderId="0" xfId="0" applyNumberFormat="1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4" fontId="6" fillId="3" borderId="0" xfId="0" applyNumberFormat="1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/>
    </xf>
    <xf numFmtId="0" fontId="6" fillId="2" borderId="1" xfId="0" quotePrefix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9" fillId="2" borderId="8" xfId="0" applyFont="1" applyFill="1" applyBorder="1" applyAlignment="1">
      <alignment horizontal="center"/>
    </xf>
    <xf numFmtId="4" fontId="3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2" fillId="3" borderId="0" xfId="0" applyFont="1" applyFill="1"/>
    <xf numFmtId="0" fontId="21" fillId="0" borderId="0" xfId="0" applyFont="1" applyAlignment="1">
      <alignment vertical="center" wrapText="1"/>
    </xf>
    <xf numFmtId="4" fontId="7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right" wrapText="1"/>
    </xf>
    <xf numFmtId="4" fontId="2" fillId="2" borderId="0" xfId="0" applyNumberFormat="1" applyFont="1" applyFill="1" applyAlignment="1">
      <alignment horizontal="right"/>
    </xf>
    <xf numFmtId="14" fontId="16" fillId="2" borderId="0" xfId="0" applyNumberFormat="1" applyFont="1" applyFill="1" applyAlignment="1">
      <alignment horizontal="right"/>
    </xf>
    <xf numFmtId="4" fontId="6" fillId="2" borderId="6" xfId="0" quotePrefix="1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4" fontId="7" fillId="2" borderId="0" xfId="0" applyNumberFormat="1" applyFont="1" applyFill="1" applyAlignment="1">
      <alignment horizontal="right" vertical="center" wrapText="1"/>
    </xf>
    <xf numFmtId="4" fontId="6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4" fontId="7" fillId="3" borderId="0" xfId="0" applyNumberFormat="1" applyFont="1" applyFill="1" applyAlignment="1">
      <alignment horizontal="right" vertical="center" wrapText="1"/>
    </xf>
    <xf numFmtId="4" fontId="7" fillId="2" borderId="0" xfId="0" applyNumberFormat="1" applyFont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vertical="center" wrapText="1"/>
    </xf>
    <xf numFmtId="4" fontId="17" fillId="0" borderId="7" xfId="0" applyNumberFormat="1" applyFont="1" applyBorder="1" applyAlignment="1">
      <alignment horizontal="center"/>
    </xf>
    <xf numFmtId="0" fontId="19" fillId="0" borderId="0" xfId="0" applyFont="1"/>
    <xf numFmtId="4" fontId="1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4" fontId="7" fillId="0" borderId="13" xfId="0" applyNumberFormat="1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4" fontId="7" fillId="0" borderId="16" xfId="0" applyNumberFormat="1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164" fontId="2" fillId="0" borderId="0" xfId="1" applyFont="1" applyFill="1"/>
    <xf numFmtId="4" fontId="2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6" fillId="0" borderId="3" xfId="0" applyFont="1" applyBorder="1" applyAlignment="1">
      <alignment horizontal="right" vertical="center" wrapText="1"/>
    </xf>
    <xf numFmtId="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4" fontId="7" fillId="0" borderId="0" xfId="0" applyNumberFormat="1" applyFont="1" applyAlignment="1">
      <alignment horizontal="right"/>
    </xf>
    <xf numFmtId="0" fontId="0" fillId="0" borderId="18" xfId="0" applyBorder="1"/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" fontId="23" fillId="0" borderId="0" xfId="0" applyNumberFormat="1" applyFont="1"/>
    <xf numFmtId="0" fontId="24" fillId="2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7" fillId="2" borderId="13" xfId="0" applyNumberFormat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vertical="top"/>
    </xf>
    <xf numFmtId="0" fontId="6" fillId="0" borderId="19" xfId="0" applyFont="1" applyBorder="1" applyAlignment="1">
      <alignment horizontal="center" vertical="center"/>
    </xf>
    <xf numFmtId="0" fontId="3" fillId="0" borderId="13" xfId="0" applyFont="1" applyBorder="1"/>
    <xf numFmtId="0" fontId="3" fillId="0" borderId="20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" fillId="2" borderId="13" xfId="0" applyFont="1" applyFill="1" applyBorder="1"/>
    <xf numFmtId="4" fontId="7" fillId="2" borderId="0" xfId="0" applyNumberFormat="1" applyFont="1" applyFill="1" applyAlignment="1">
      <alignment horizontal="center" vertical="center" wrapText="1"/>
    </xf>
    <xf numFmtId="0" fontId="3" fillId="2" borderId="13" xfId="0" applyFont="1" applyFill="1" applyBorder="1"/>
    <xf numFmtId="0" fontId="25" fillId="2" borderId="13" xfId="0" applyFont="1" applyFill="1" applyBorder="1"/>
    <xf numFmtId="0" fontId="2" fillId="2" borderId="0" xfId="0" applyFont="1" applyFill="1"/>
    <xf numFmtId="0" fontId="26" fillId="0" borderId="13" xfId="0" applyFont="1" applyBorder="1"/>
    <xf numFmtId="0" fontId="27" fillId="0" borderId="0" xfId="0" applyFont="1" applyAlignment="1">
      <alignment horizontal="center" vertical="center"/>
    </xf>
    <xf numFmtId="4" fontId="28" fillId="0" borderId="0" xfId="0" applyNumberFormat="1" applyFont="1"/>
    <xf numFmtId="0" fontId="3" fillId="5" borderId="13" xfId="0" applyFont="1" applyFill="1" applyBorder="1"/>
    <xf numFmtId="4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2" fillId="6" borderId="0" xfId="0" applyFont="1" applyFill="1"/>
    <xf numFmtId="4" fontId="6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vertical="top" wrapText="1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21" xfId="0" applyFont="1" applyBorder="1"/>
    <xf numFmtId="4" fontId="30" fillId="0" borderId="0" xfId="0" applyNumberFormat="1" applyFont="1"/>
    <xf numFmtId="0" fontId="30" fillId="0" borderId="13" xfId="0" applyFont="1" applyBorder="1" applyAlignment="1">
      <alignment horizontal="center" vertical="center" wrapText="1"/>
    </xf>
    <xf numFmtId="4" fontId="30" fillId="0" borderId="13" xfId="0" applyNumberFormat="1" applyFont="1" applyBorder="1" applyAlignment="1">
      <alignment horizontal="center" vertical="center" wrapText="1"/>
    </xf>
    <xf numFmtId="4" fontId="30" fillId="0" borderId="13" xfId="0" applyNumberFormat="1" applyFont="1" applyBorder="1" applyAlignment="1">
      <alignment horizontal="right" vertical="center" wrapText="1"/>
    </xf>
    <xf numFmtId="0" fontId="30" fillId="0" borderId="13" xfId="0" applyFont="1" applyBorder="1" applyAlignment="1">
      <alignment horizontal="center" vertical="center"/>
    </xf>
    <xf numFmtId="0" fontId="30" fillId="0" borderId="13" xfId="0" applyFont="1" applyBorder="1"/>
    <xf numFmtId="0" fontId="29" fillId="0" borderId="13" xfId="0" applyFont="1" applyBorder="1" applyAlignment="1">
      <alignment horizontal="center" vertical="center" wrapText="1"/>
    </xf>
    <xf numFmtId="4" fontId="29" fillId="0" borderId="13" xfId="0" applyNumberFormat="1" applyFont="1" applyBorder="1" applyAlignment="1">
      <alignment horizontal="right" vertical="center" wrapText="1"/>
    </xf>
    <xf numFmtId="0" fontId="29" fillId="0" borderId="13" xfId="0" applyFont="1" applyBorder="1" applyAlignment="1">
      <alignment horizontal="center" vertical="center"/>
    </xf>
    <xf numFmtId="4" fontId="29" fillId="0" borderId="13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9" fillId="0" borderId="0" xfId="0" applyFont="1"/>
    <xf numFmtId="0" fontId="29" fillId="0" borderId="0" xfId="0" applyFont="1" applyAlignment="1">
      <alignment horizontal="center" vertical="center"/>
    </xf>
    <xf numFmtId="164" fontId="30" fillId="0" borderId="0" xfId="1" applyFont="1" applyFill="1"/>
    <xf numFmtId="4" fontId="30" fillId="0" borderId="0" xfId="0" applyNumberFormat="1" applyFont="1" applyAlignment="1">
      <alignment horizontal="right"/>
    </xf>
    <xf numFmtId="0" fontId="35" fillId="0" borderId="13" xfId="0" applyFont="1" applyBorder="1" applyAlignment="1">
      <alignment vertical="top"/>
    </xf>
    <xf numFmtId="0" fontId="30" fillId="0" borderId="13" xfId="0" applyFont="1" applyBorder="1" applyAlignment="1">
      <alignment horizontal="center"/>
    </xf>
    <xf numFmtId="14" fontId="31" fillId="0" borderId="13" xfId="0" applyNumberFormat="1" applyFont="1" applyBorder="1" applyAlignment="1">
      <alignment horizontal="right"/>
    </xf>
    <xf numFmtId="0" fontId="29" fillId="0" borderId="13" xfId="0" quotePrefix="1" applyFont="1" applyBorder="1" applyAlignment="1">
      <alignment horizontal="center" vertical="center" wrapText="1"/>
    </xf>
    <xf numFmtId="4" fontId="29" fillId="0" borderId="13" xfId="0" quotePrefix="1" applyNumberFormat="1" applyFont="1" applyBorder="1" applyAlignment="1">
      <alignment horizontal="center" vertical="center" wrapText="1"/>
    </xf>
    <xf numFmtId="0" fontId="29" fillId="0" borderId="13" xfId="0" applyFont="1" applyBorder="1" applyAlignment="1">
      <alignment horizontal="right" vertical="center" wrapText="1"/>
    </xf>
    <xf numFmtId="0" fontId="30" fillId="0" borderId="10" xfId="0" applyFont="1" applyBorder="1"/>
    <xf numFmtId="0" fontId="30" fillId="0" borderId="11" xfId="0" applyFont="1" applyBorder="1"/>
    <xf numFmtId="0" fontId="29" fillId="0" borderId="12" xfId="0" applyFont="1" applyBorder="1" applyAlignment="1">
      <alignment horizontal="center" vertical="center" wrapText="1"/>
    </xf>
    <xf numFmtId="0" fontId="30" fillId="0" borderId="14" xfId="0" applyFont="1" applyBorder="1"/>
    <xf numFmtId="0" fontId="29" fillId="0" borderId="12" xfId="0" quotePrefix="1" applyFont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/>
    </xf>
    <xf numFmtId="0" fontId="29" fillId="0" borderId="12" xfId="0" applyFont="1" applyBorder="1" applyAlignment="1">
      <alignment vertical="center" wrapText="1"/>
    </xf>
    <xf numFmtId="0" fontId="32" fillId="0" borderId="12" xfId="0" applyFont="1" applyBorder="1" applyAlignment="1">
      <alignment vertical="center" wrapText="1"/>
    </xf>
    <xf numFmtId="0" fontId="30" fillId="7" borderId="14" xfId="0" applyFont="1" applyFill="1" applyBorder="1"/>
    <xf numFmtId="0" fontId="30" fillId="2" borderId="14" xfId="0" applyFont="1" applyFill="1" applyBorder="1"/>
    <xf numFmtId="0" fontId="33" fillId="0" borderId="12" xfId="0" applyFont="1" applyBorder="1" applyAlignment="1">
      <alignment vertical="center"/>
    </xf>
    <xf numFmtId="0" fontId="34" fillId="4" borderId="14" xfId="0" applyFont="1" applyFill="1" applyBorder="1"/>
    <xf numFmtId="0" fontId="30" fillId="4" borderId="14" xfId="0" applyFont="1" applyFill="1" applyBorder="1"/>
    <xf numFmtId="0" fontId="29" fillId="0" borderId="12" xfId="0" applyFont="1" applyBorder="1" applyAlignment="1">
      <alignment vertical="center"/>
    </xf>
    <xf numFmtId="0" fontId="33" fillId="0" borderId="12" xfId="0" applyFont="1" applyBorder="1" applyAlignment="1">
      <alignment vertical="center" wrapText="1"/>
    </xf>
    <xf numFmtId="0" fontId="35" fillId="0" borderId="12" xfId="0" applyFont="1" applyBorder="1" applyAlignment="1">
      <alignment vertical="center" wrapText="1"/>
    </xf>
    <xf numFmtId="0" fontId="35" fillId="0" borderId="12" xfId="0" applyFont="1" applyBorder="1" applyAlignment="1">
      <alignment vertical="center"/>
    </xf>
    <xf numFmtId="0" fontId="29" fillId="0" borderId="14" xfId="0" applyFont="1" applyBorder="1"/>
    <xf numFmtId="0" fontId="33" fillId="8" borderId="12" xfId="0" applyFont="1" applyFill="1" applyBorder="1" applyAlignment="1">
      <alignment vertical="center" wrapText="1"/>
    </xf>
    <xf numFmtId="0" fontId="35" fillId="0" borderId="12" xfId="0" applyFont="1" applyBorder="1" applyAlignment="1">
      <alignment vertical="top" wrapText="1"/>
    </xf>
    <xf numFmtId="0" fontId="30" fillId="9" borderId="14" xfId="0" applyFont="1" applyFill="1" applyBorder="1"/>
    <xf numFmtId="0" fontId="29" fillId="9" borderId="14" xfId="0" applyFont="1" applyFill="1" applyBorder="1"/>
    <xf numFmtId="0" fontId="33" fillId="0" borderId="15" xfId="0" applyFont="1" applyBorder="1" applyAlignment="1">
      <alignment vertical="center" wrapText="1"/>
    </xf>
    <xf numFmtId="0" fontId="29" fillId="0" borderId="16" xfId="0" applyFont="1" applyBorder="1" applyAlignment="1">
      <alignment horizontal="center" vertical="center" wrapText="1"/>
    </xf>
    <xf numFmtId="164" fontId="29" fillId="0" borderId="16" xfId="1" applyFont="1" applyFill="1" applyBorder="1" applyAlignment="1">
      <alignment horizontal="center" vertical="center" wrapText="1"/>
    </xf>
    <xf numFmtId="0" fontId="33" fillId="0" borderId="16" xfId="0" applyFont="1" applyBorder="1" applyAlignment="1">
      <alignment vertical="center" wrapText="1"/>
    </xf>
    <xf numFmtId="0" fontId="30" fillId="0" borderId="16" xfId="0" applyFont="1" applyBorder="1"/>
    <xf numFmtId="0" fontId="30" fillId="0" borderId="17" xfId="0" applyFont="1" applyBorder="1"/>
    <xf numFmtId="0" fontId="30" fillId="10" borderId="14" xfId="0" applyFont="1" applyFill="1" applyBorder="1"/>
    <xf numFmtId="0" fontId="30" fillId="11" borderId="14" xfId="0" applyFont="1" applyFill="1" applyBorder="1"/>
    <xf numFmtId="0" fontId="34" fillId="2" borderId="14" xfId="0" applyFont="1" applyFill="1" applyBorder="1"/>
    <xf numFmtId="4" fontId="30" fillId="0" borderId="21" xfId="0" applyNumberFormat="1" applyFont="1" applyBorder="1" applyAlignment="1">
      <alignment vertical="center" wrapText="1"/>
    </xf>
    <xf numFmtId="0" fontId="30" fillId="0" borderId="25" xfId="0" applyFont="1" applyBorder="1"/>
    <xf numFmtId="0" fontId="30" fillId="0" borderId="21" xfId="0" applyFont="1" applyBorder="1" applyAlignment="1">
      <alignment vertical="center" wrapText="1"/>
    </xf>
    <xf numFmtId="0" fontId="29" fillId="7" borderId="14" xfId="0" applyFont="1" applyFill="1" applyBorder="1"/>
    <xf numFmtId="0" fontId="30" fillId="6" borderId="14" xfId="0" applyFont="1" applyFill="1" applyBorder="1"/>
    <xf numFmtId="0" fontId="30" fillId="6" borderId="0" xfId="0" applyFont="1" applyFill="1"/>
    <xf numFmtId="0" fontId="29" fillId="9" borderId="0" xfId="0" applyFont="1" applyFill="1"/>
    <xf numFmtId="0" fontId="30" fillId="12" borderId="14" xfId="0" applyFont="1" applyFill="1" applyBorder="1"/>
    <xf numFmtId="0" fontId="30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vertical="center" wrapText="1"/>
    </xf>
    <xf numFmtId="0" fontId="30" fillId="13" borderId="14" xfId="0" applyFont="1" applyFill="1" applyBorder="1"/>
    <xf numFmtId="0" fontId="29" fillId="13" borderId="14" xfId="0" applyFont="1" applyFill="1" applyBorder="1"/>
    <xf numFmtId="0" fontId="30" fillId="5" borderId="14" xfId="0" applyFont="1" applyFill="1" applyBorder="1"/>
    <xf numFmtId="0" fontId="29" fillId="14" borderId="14" xfId="0" applyFont="1" applyFill="1" applyBorder="1"/>
    <xf numFmtId="0" fontId="31" fillId="2" borderId="14" xfId="0" applyFont="1" applyFill="1" applyBorder="1"/>
    <xf numFmtId="0" fontId="31" fillId="15" borderId="13" xfId="0" applyFont="1" applyFill="1" applyBorder="1"/>
    <xf numFmtId="0" fontId="31" fillId="2" borderId="13" xfId="0" applyFont="1" applyFill="1" applyBorder="1"/>
    <xf numFmtId="0" fontId="31" fillId="5" borderId="14" xfId="0" applyFont="1" applyFill="1" applyBorder="1"/>
    <xf numFmtId="0" fontId="37" fillId="2" borderId="14" xfId="0" applyFont="1" applyFill="1" applyBorder="1"/>
    <xf numFmtId="3" fontId="30" fillId="0" borderId="26" xfId="0" applyNumberFormat="1" applyFont="1" applyBorder="1" applyAlignment="1">
      <alignment horizontal="right" vertical="center" wrapText="1"/>
    </xf>
    <xf numFmtId="9" fontId="0" fillId="0" borderId="0" xfId="2" applyFont="1"/>
    <xf numFmtId="0" fontId="32" fillId="0" borderId="13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/>
    </xf>
    <xf numFmtId="0" fontId="30" fillId="7" borderId="13" xfId="0" applyFont="1" applyFill="1" applyBorder="1" applyAlignment="1">
      <alignment horizontal="left"/>
    </xf>
    <xf numFmtId="0" fontId="32" fillId="0" borderId="13" xfId="0" applyFont="1" applyBorder="1" applyAlignment="1">
      <alignment horizontal="left" vertical="top" wrapText="1"/>
    </xf>
    <xf numFmtId="0" fontId="30" fillId="0" borderId="13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7" borderId="13" xfId="0" applyFont="1" applyFill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4" fillId="7" borderId="13" xfId="0" applyFont="1" applyFill="1" applyBorder="1" applyAlignment="1">
      <alignment horizontal="left"/>
    </xf>
    <xf numFmtId="0" fontId="32" fillId="0" borderId="23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2" fillId="0" borderId="23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0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" fontId="30" fillId="0" borderId="21" xfId="0" applyNumberFormat="1" applyFont="1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30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left" vertical="top" wrapText="1"/>
    </xf>
    <xf numFmtId="0" fontId="35" fillId="0" borderId="13" xfId="0" applyFont="1" applyBorder="1" applyAlignment="1">
      <alignment horizontal="left" vertical="top" wrapText="1"/>
    </xf>
    <xf numFmtId="0" fontId="30" fillId="0" borderId="22" xfId="0" applyFont="1" applyBorder="1" applyAlignment="1">
      <alignment horizontal="center" vertical="center" wrapText="1"/>
    </xf>
    <xf numFmtId="4" fontId="30" fillId="0" borderId="22" xfId="0" applyNumberFormat="1" applyFont="1" applyBorder="1" applyAlignment="1">
      <alignment horizontal="right" vertical="center" wrapText="1"/>
    </xf>
    <xf numFmtId="0" fontId="30" fillId="0" borderId="2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174626</xdr:colOff>
      <xdr:row>0</xdr:row>
      <xdr:rowOff>0</xdr:rowOff>
    </xdr:from>
    <xdr:to>
      <xdr:col>0</xdr:col>
      <xdr:colOff>4286250</xdr:colOff>
      <xdr:row>1</xdr:row>
      <xdr:rowOff>984250</xdr:rowOff>
    </xdr:to>
    <xdr:sp macro="" textlink="">
      <xdr:nvSpPr>
        <xdr:cNvPr id="2" name="Подзаголовок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174626" y="0"/>
          <a:ext cx="4111624" cy="17780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«Kelishildi»</a:t>
          </a: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O‘zbekiston Respublikasi Iqtisodiyot va moliya vazir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o'rinbosari</a:t>
          </a:r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145142</xdr:colOff>
      <xdr:row>2</xdr:row>
      <xdr:rowOff>31748</xdr:rowOff>
    </xdr:from>
    <xdr:to>
      <xdr:col>0</xdr:col>
      <xdr:colOff>4286249</xdr:colOff>
      <xdr:row>4</xdr:row>
      <xdr:rowOff>380999</xdr:rowOff>
    </xdr:to>
    <xdr:sp macro="" textlink="">
      <xdr:nvSpPr>
        <xdr:cNvPr id="3" name="Подзаголов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145142" y="2000248"/>
          <a:ext cx="4141107" cy="17462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uz-Latn-UZ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__________</a:t>
          </a:r>
          <a:r>
            <a:rPr lang="en-US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</a:t>
          </a:r>
          <a:r>
            <a:rPr lang="uz-Latn-UZ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G</a:t>
          </a:r>
          <a:r>
            <a:rPr lang="ru-RU" b="1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Raximova</a:t>
          </a:r>
        </a:p>
        <a:p>
          <a:pPr algn="l"/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5-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yil «       »</a:t>
          </a:r>
          <a:r>
            <a:rPr lang="uz-Latn-UZ" sz="2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</a:t>
          </a:r>
          <a:r>
            <a:rPr lang="en-US" sz="2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</a:t>
          </a:r>
          <a:r>
            <a:rPr lang="uz-Latn-UZ" sz="2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 </a:t>
          </a:r>
          <a:endParaRPr lang="ru-RU">
            <a:effectLst/>
          </a:endParaRPr>
        </a:p>
      </xdr:txBody>
    </xdr:sp>
    <xdr:clientData/>
  </xdr:twoCellAnchor>
  <xdr:twoCellAnchor>
    <xdr:from>
      <xdr:col>1</xdr:col>
      <xdr:colOff>63500</xdr:colOff>
      <xdr:row>0</xdr:row>
      <xdr:rowOff>47625</xdr:rowOff>
    </xdr:from>
    <xdr:to>
      <xdr:col>5</xdr:col>
      <xdr:colOff>0</xdr:colOff>
      <xdr:row>3</xdr:row>
      <xdr:rowOff>142875</xdr:rowOff>
    </xdr:to>
    <xdr:sp macro="" textlink="">
      <xdr:nvSpPr>
        <xdr:cNvPr id="4" name="Подзаголовок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5842000" y="47625"/>
          <a:ext cx="4635500" cy="242887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«Tasdiqlayman»</a:t>
          </a: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rtl="0" eaLnBrk="1" fontAlgn="auto" latinLnBrk="0" hangingPunct="1">
            <a:lnSpc>
              <a:spcPct val="90000"/>
            </a:lnSpc>
            <a:spcBef>
              <a:spcPts val="100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 kishidan iborat shtat </a:t>
          </a: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soni</a:t>
          </a:r>
          <a:endParaRPr lang="en-US" sz="2400" kern="12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algn="l" defTabSz="914400" rtl="0" eaLnBrk="1" fontAlgn="auto" latinLnBrk="0" hangingPunct="1">
            <a:lnSpc>
              <a:spcPct val="90000"/>
            </a:lnSpc>
            <a:spcBef>
              <a:spcPts val="100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O‘zR </a:t>
          </a:r>
          <a:r>
            <a:rPr lang="en-US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Iqtisodiyot va m</a:t>
          </a: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oliya vazirligi</a:t>
          </a:r>
          <a:r>
            <a:rPr lang="en-US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huzuridagi ATM direktori v.v.b.</a:t>
          </a:r>
          <a:endParaRPr lang="ru-RU" sz="2400" kern="12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111125</xdr:colOff>
      <xdr:row>2</xdr:row>
      <xdr:rowOff>31750</xdr:rowOff>
    </xdr:from>
    <xdr:to>
      <xdr:col>5</xdr:col>
      <xdr:colOff>0</xdr:colOff>
      <xdr:row>4</xdr:row>
      <xdr:rowOff>20411</xdr:rowOff>
    </xdr:to>
    <xdr:sp macro="" textlink="">
      <xdr:nvSpPr>
        <xdr:cNvPr id="5" name="Подзаголовок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5889625" y="2000250"/>
          <a:ext cx="4587875" cy="138566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uz-Latn-UZ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________</a:t>
          </a:r>
          <a:r>
            <a:rPr lang="en-US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</a:t>
          </a:r>
          <a:r>
            <a:rPr lang="uz-Latn-UZ" sz="2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O</a:t>
          </a:r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Eshchanov</a:t>
          </a:r>
        </a:p>
        <a:p>
          <a:pPr algn="l"/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5-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yil «       »_____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___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____ </a:t>
          </a:r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0</xdr:row>
      <xdr:rowOff>503464</xdr:rowOff>
    </xdr:from>
    <xdr:to>
      <xdr:col>0</xdr:col>
      <xdr:colOff>4485822</xdr:colOff>
      <xdr:row>1</xdr:row>
      <xdr:rowOff>1177819</xdr:rowOff>
    </xdr:to>
    <xdr:sp macro="" textlink="">
      <xdr:nvSpPr>
        <xdr:cNvPr id="8" name="Подзаголовок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Grp="1"/>
        </xdr:cNvSpPr>
      </xdr:nvSpPr>
      <xdr:spPr>
        <a:xfrm>
          <a:off x="190501" y="503464"/>
          <a:ext cx="4295321" cy="146356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«Kelishildi»</a:t>
          </a: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O‘zbekiston Respublikasi Iqtisodiyot va moliya vazir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o'rinbosari</a:t>
          </a:r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367393</xdr:colOff>
      <xdr:row>3</xdr:row>
      <xdr:rowOff>-1</xdr:rowOff>
    </xdr:from>
    <xdr:to>
      <xdr:col>0</xdr:col>
      <xdr:colOff>5551714</xdr:colOff>
      <xdr:row>4</xdr:row>
      <xdr:rowOff>435428</xdr:rowOff>
    </xdr:to>
    <xdr:sp macro="" textlink="">
      <xdr:nvSpPr>
        <xdr:cNvPr id="10" name="Подзаголовок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Grp="1"/>
        </xdr:cNvSpPr>
      </xdr:nvSpPr>
      <xdr:spPr>
        <a:xfrm>
          <a:off x="367393" y="2340428"/>
          <a:ext cx="5184321" cy="146957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b="1">
              <a:latin typeface="Times New Roman" panose="02020603050405020304" pitchFamily="18" charset="0"/>
              <a:cs typeface="Times New Roman" panose="02020603050405020304" pitchFamily="18" charset="0"/>
            </a:rPr>
            <a:t>________________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G</a:t>
          </a:r>
          <a:r>
            <a:rPr lang="ru-RU" b="1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Raximova</a:t>
          </a:r>
        </a:p>
        <a:p>
          <a:pPr algn="l"/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4-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yil «       »____________ </a:t>
          </a:r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27214</xdr:colOff>
      <xdr:row>0</xdr:row>
      <xdr:rowOff>476250</xdr:rowOff>
    </xdr:from>
    <xdr:to>
      <xdr:col>4</xdr:col>
      <xdr:colOff>0</xdr:colOff>
      <xdr:row>3</xdr:row>
      <xdr:rowOff>0</xdr:rowOff>
    </xdr:to>
    <xdr:sp macro="" textlink="">
      <xdr:nvSpPr>
        <xdr:cNvPr id="12" name="Подзаголовок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Grp="1"/>
        </xdr:cNvSpPr>
      </xdr:nvSpPr>
      <xdr:spPr>
        <a:xfrm>
          <a:off x="6204857" y="476250"/>
          <a:ext cx="3769179" cy="2548138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«Tasdiqlayman»</a:t>
          </a: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 defTabSz="914400" rtl="0" eaLnBrk="1" fontAlgn="auto" latinLnBrk="0" hangingPunct="1">
            <a:lnSpc>
              <a:spcPct val="90000"/>
            </a:lnSpc>
            <a:spcBef>
              <a:spcPts val="100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 kishidan iborat shtat </a:t>
          </a: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soni</a:t>
          </a:r>
          <a:endParaRPr lang="en-US" sz="2400" kern="12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algn="l" defTabSz="914400" rtl="0" eaLnBrk="1" fontAlgn="auto" latinLnBrk="0" hangingPunct="1">
            <a:lnSpc>
              <a:spcPct val="90000"/>
            </a:lnSpc>
            <a:spcBef>
              <a:spcPts val="100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O‘zR </a:t>
          </a:r>
          <a:r>
            <a:rPr lang="en-US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Iqtisodiyot va m</a:t>
          </a:r>
          <a:r>
            <a:rPr lang="uz-Latn-UZ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oliya vazirligi</a:t>
          </a:r>
          <a:r>
            <a:rPr lang="en-US" sz="2400" kern="12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huzuridagi ATM direktori v.v.b.</a:t>
          </a:r>
          <a:endParaRPr lang="ru-RU" sz="2400" kern="12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6136823</xdr:colOff>
      <xdr:row>3</xdr:row>
      <xdr:rowOff>0</xdr:rowOff>
    </xdr:from>
    <xdr:to>
      <xdr:col>3</xdr:col>
      <xdr:colOff>1183822</xdr:colOff>
      <xdr:row>4</xdr:row>
      <xdr:rowOff>353786</xdr:rowOff>
    </xdr:to>
    <xdr:sp macro="" textlink="">
      <xdr:nvSpPr>
        <xdr:cNvPr id="14" name="Подзаголовок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Grp="1"/>
        </xdr:cNvSpPr>
      </xdr:nvSpPr>
      <xdr:spPr>
        <a:xfrm>
          <a:off x="6136823" y="2340429"/>
          <a:ext cx="4708070" cy="1387928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___________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O</a:t>
          </a:r>
          <a:r>
            <a:rPr lang="uz-Latn-UZ" b="1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Eshchanov</a:t>
          </a:r>
        </a:p>
        <a:p>
          <a:pPr algn="l"/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202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4-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yil «       »_____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___</a:t>
          </a:r>
          <a:r>
            <a:rPr lang="uz-Latn-UZ">
              <a:latin typeface="Times New Roman" panose="02020603050405020304" pitchFamily="18" charset="0"/>
              <a:cs typeface="Times New Roman" panose="02020603050405020304" pitchFamily="18" charset="0"/>
            </a:rPr>
            <a:t>____ </a:t>
          </a:r>
          <a:endParaRPr lang="ru-RU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8"/>
  <sheetViews>
    <sheetView tabSelected="1" zoomScale="70" zoomScaleNormal="70" zoomScaleSheetLayoutView="40" zoomScalePageLayoutView="70" workbookViewId="0">
      <selection activeCell="B147" sqref="B147"/>
    </sheetView>
  </sheetViews>
  <sheetFormatPr defaultColWidth="9.109375" defaultRowHeight="18" x14ac:dyDescent="0.35"/>
  <cols>
    <col min="1" max="1" width="80" style="233" customWidth="1"/>
    <col min="2" max="2" width="56.44140625" style="233" customWidth="1"/>
    <col min="3" max="3" width="96.88671875" style="233" customWidth="1"/>
    <col min="4" max="4" width="4.88671875" style="156" customWidth="1"/>
    <col min="5" max="5" width="23.33203125" style="156" customWidth="1"/>
    <col min="6" max="6" width="4.88671875" style="156" customWidth="1"/>
    <col min="7" max="7" width="23.33203125" style="156" customWidth="1"/>
    <col min="8" max="8" width="4.88671875" style="156" customWidth="1"/>
    <col min="9" max="9" width="21.5546875" style="156" customWidth="1"/>
    <col min="10" max="10" width="4.88671875" style="156" customWidth="1"/>
    <col min="11" max="11" width="23.33203125" style="156" customWidth="1"/>
    <col min="12" max="12" width="3.33203125" style="156" customWidth="1"/>
    <col min="13" max="13" width="21.5546875" style="156" customWidth="1"/>
    <col min="14" max="14" width="9.109375" style="156" customWidth="1"/>
    <col min="15" max="15" width="19.6640625" style="156" customWidth="1"/>
    <col min="16" max="17" width="9.109375" style="156" customWidth="1"/>
    <col min="18" max="18" width="24.88671875" style="156" customWidth="1"/>
    <col min="19" max="16384" width="9.109375" style="155"/>
  </cols>
  <sheetData>
    <row r="1" spans="1:18" ht="19.95" customHeight="1" x14ac:dyDescent="0.35">
      <c r="A1" s="236" t="s">
        <v>592</v>
      </c>
      <c r="B1" s="237" t="s">
        <v>558</v>
      </c>
      <c r="C1" s="233" t="s">
        <v>591</v>
      </c>
    </row>
    <row r="2" spans="1:18" ht="19.95" customHeight="1" x14ac:dyDescent="0.35">
      <c r="A2" s="232" t="s">
        <v>2</v>
      </c>
      <c r="B2" s="234" t="s">
        <v>502</v>
      </c>
      <c r="C2" s="236" t="s">
        <v>559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</row>
    <row r="3" spans="1:18" ht="19.95" customHeight="1" x14ac:dyDescent="0.35">
      <c r="A3" s="232" t="s">
        <v>3</v>
      </c>
      <c r="B3" s="234" t="s">
        <v>16</v>
      </c>
      <c r="C3" s="236" t="s">
        <v>559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</row>
    <row r="4" spans="1:18" ht="19.95" customHeight="1" x14ac:dyDescent="0.35">
      <c r="A4" s="232" t="s">
        <v>4</v>
      </c>
      <c r="B4" s="234" t="s">
        <v>342</v>
      </c>
      <c r="C4" s="236" t="s">
        <v>559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ht="19.95" customHeight="1" x14ac:dyDescent="0.35">
      <c r="A5" s="232" t="s">
        <v>393</v>
      </c>
      <c r="B5" s="234" t="s">
        <v>503</v>
      </c>
      <c r="C5" s="236" t="s">
        <v>557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</row>
    <row r="6" spans="1:18" ht="19.95" customHeight="1" x14ac:dyDescent="0.35">
      <c r="A6" s="232" t="s">
        <v>394</v>
      </c>
      <c r="B6" s="234" t="s">
        <v>12</v>
      </c>
      <c r="C6" s="236" t="s">
        <v>557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</row>
    <row r="7" spans="1:18" ht="19.95" customHeight="1" x14ac:dyDescent="0.35">
      <c r="A7" s="232" t="s">
        <v>23</v>
      </c>
      <c r="B7" s="234" t="s">
        <v>11</v>
      </c>
      <c r="C7" s="236" t="s">
        <v>557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</row>
    <row r="8" spans="1:18" ht="19.95" customHeight="1" x14ac:dyDescent="0.35">
      <c r="A8" s="232" t="s">
        <v>23</v>
      </c>
      <c r="B8" s="234" t="s">
        <v>504</v>
      </c>
      <c r="C8" s="236" t="s">
        <v>557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</row>
    <row r="9" spans="1:18" ht="19.95" customHeight="1" x14ac:dyDescent="0.35">
      <c r="A9" s="232" t="s">
        <v>52</v>
      </c>
      <c r="B9" s="238" t="s">
        <v>505</v>
      </c>
      <c r="C9" s="236" t="s">
        <v>560</v>
      </c>
    </row>
    <row r="10" spans="1:18" ht="19.95" customHeight="1" x14ac:dyDescent="0.35">
      <c r="A10" s="232" t="s">
        <v>131</v>
      </c>
      <c r="B10" s="238" t="s">
        <v>552</v>
      </c>
      <c r="C10" s="236" t="s">
        <v>560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</row>
    <row r="11" spans="1:18" ht="19.95" customHeight="1" x14ac:dyDescent="0.35">
      <c r="A11" s="232" t="s">
        <v>395</v>
      </c>
      <c r="B11" s="238" t="s">
        <v>106</v>
      </c>
      <c r="C11" s="236" t="s">
        <v>560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</row>
    <row r="12" spans="1:18" ht="19.95" customHeight="1" x14ac:dyDescent="0.35">
      <c r="A12" s="232" t="s">
        <v>396</v>
      </c>
      <c r="B12" s="234" t="s">
        <v>588</v>
      </c>
      <c r="C12" s="236" t="s">
        <v>560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</row>
    <row r="13" spans="1:18" ht="19.95" customHeight="1" x14ac:dyDescent="0.35">
      <c r="A13" s="232" t="s">
        <v>15</v>
      </c>
      <c r="B13" s="234" t="s">
        <v>164</v>
      </c>
      <c r="C13" s="236" t="s">
        <v>561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</row>
    <row r="14" spans="1:18" ht="19.95" customHeight="1" x14ac:dyDescent="0.35">
      <c r="A14" s="232" t="s">
        <v>197</v>
      </c>
      <c r="B14" s="234" t="s">
        <v>596</v>
      </c>
      <c r="C14" s="236" t="s">
        <v>561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</row>
    <row r="15" spans="1:18" ht="19.95" customHeight="1" x14ac:dyDescent="0.35">
      <c r="A15" s="232" t="s">
        <v>197</v>
      </c>
      <c r="B15" s="234" t="s">
        <v>171</v>
      </c>
      <c r="C15" s="236" t="s">
        <v>561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</row>
    <row r="16" spans="1:18" ht="19.95" customHeight="1" x14ac:dyDescent="0.35">
      <c r="A16" s="232" t="s">
        <v>15</v>
      </c>
      <c r="B16" s="234" t="s">
        <v>506</v>
      </c>
      <c r="C16" s="239" t="s">
        <v>562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</row>
    <row r="17" spans="1:18" ht="19.95" customHeight="1" x14ac:dyDescent="0.35">
      <c r="A17" s="232" t="s">
        <v>23</v>
      </c>
      <c r="B17" s="234" t="s">
        <v>499</v>
      </c>
      <c r="C17" s="239" t="s">
        <v>562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</row>
    <row r="18" spans="1:18" ht="19.95" customHeight="1" x14ac:dyDescent="0.35">
      <c r="A18" s="232" t="s">
        <v>6</v>
      </c>
      <c r="B18" s="240" t="s">
        <v>551</v>
      </c>
      <c r="C18" s="232" t="s">
        <v>6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</row>
    <row r="19" spans="1:18" ht="19.95" customHeight="1" x14ac:dyDescent="0.35">
      <c r="A19" s="232" t="s">
        <v>212</v>
      </c>
      <c r="B19" s="234" t="s">
        <v>343</v>
      </c>
      <c r="C19" s="232" t="s">
        <v>212</v>
      </c>
    </row>
    <row r="20" spans="1:18" ht="19.95" customHeight="1" x14ac:dyDescent="0.35">
      <c r="A20" s="232" t="s">
        <v>213</v>
      </c>
      <c r="B20" s="234" t="s">
        <v>430</v>
      </c>
      <c r="C20" s="232" t="s">
        <v>213</v>
      </c>
    </row>
    <row r="21" spans="1:18" ht="19.95" customHeight="1" x14ac:dyDescent="0.35">
      <c r="A21" s="232" t="s">
        <v>120</v>
      </c>
      <c r="B21" s="234" t="s">
        <v>121</v>
      </c>
      <c r="C21" s="236" t="s">
        <v>578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</row>
    <row r="22" spans="1:18" ht="19.95" customHeight="1" x14ac:dyDescent="0.35">
      <c r="A22" s="232" t="s">
        <v>13</v>
      </c>
      <c r="B22" s="234" t="s">
        <v>14</v>
      </c>
      <c r="C22" s="236" t="s">
        <v>578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</row>
    <row r="23" spans="1:18" ht="19.95" customHeight="1" x14ac:dyDescent="0.35">
      <c r="A23" s="232" t="s">
        <v>533</v>
      </c>
      <c r="B23" s="234" t="s">
        <v>122</v>
      </c>
      <c r="C23" s="236" t="s">
        <v>578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</row>
    <row r="24" spans="1:18" ht="19.95" customHeight="1" x14ac:dyDescent="0.35">
      <c r="A24" s="232" t="s">
        <v>230</v>
      </c>
      <c r="B24" s="240" t="s">
        <v>47</v>
      </c>
      <c r="C24" s="236" t="s">
        <v>556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</row>
    <row r="25" spans="1:18" ht="19.95" customHeight="1" x14ac:dyDescent="0.35">
      <c r="A25" s="232" t="s">
        <v>131</v>
      </c>
      <c r="B25" s="240" t="s">
        <v>508</v>
      </c>
      <c r="C25" s="236" t="s">
        <v>556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</row>
    <row r="26" spans="1:18" ht="19.95" customHeight="1" x14ac:dyDescent="0.35">
      <c r="A26" s="232" t="s">
        <v>131</v>
      </c>
      <c r="B26" s="234" t="s">
        <v>26</v>
      </c>
      <c r="C26" s="236" t="s">
        <v>556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</row>
    <row r="27" spans="1:18" ht="19.95" customHeight="1" x14ac:dyDescent="0.35">
      <c r="A27" s="232" t="s">
        <v>315</v>
      </c>
      <c r="B27" s="234" t="s">
        <v>25</v>
      </c>
      <c r="C27" s="237" t="s">
        <v>579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</row>
    <row r="28" spans="1:18" ht="19.95" customHeight="1" x14ac:dyDescent="0.35">
      <c r="A28" s="232" t="s">
        <v>285</v>
      </c>
      <c r="B28" s="234" t="s">
        <v>593</v>
      </c>
      <c r="C28" s="232" t="s">
        <v>580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</row>
    <row r="29" spans="1:18" ht="19.95" customHeight="1" x14ac:dyDescent="0.35">
      <c r="A29" s="232" t="s">
        <v>286</v>
      </c>
      <c r="B29" s="234" t="s">
        <v>57</v>
      </c>
      <c r="C29" s="232" t="s">
        <v>580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</row>
    <row r="30" spans="1:18" ht="19.95" customHeight="1" x14ac:dyDescent="0.35">
      <c r="A30" s="232" t="s">
        <v>316</v>
      </c>
      <c r="B30" s="234" t="s">
        <v>182</v>
      </c>
      <c r="C30" s="232" t="s">
        <v>580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</row>
    <row r="31" spans="1:18" ht="19.95" customHeight="1" x14ac:dyDescent="0.35">
      <c r="A31" s="232" t="s">
        <v>316</v>
      </c>
      <c r="B31" s="234" t="s">
        <v>250</v>
      </c>
      <c r="C31" s="232" t="s">
        <v>580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</row>
    <row r="32" spans="1:18" ht="19.95" customHeight="1" x14ac:dyDescent="0.35">
      <c r="A32" s="232" t="s">
        <v>316</v>
      </c>
      <c r="B32" s="234" t="s">
        <v>125</v>
      </c>
      <c r="C32" s="232" t="s">
        <v>580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</row>
    <row r="33" spans="1:18" ht="19.95" customHeight="1" x14ac:dyDescent="0.35">
      <c r="A33" s="232" t="s">
        <v>316</v>
      </c>
      <c r="B33" s="234" t="s">
        <v>442</v>
      </c>
      <c r="C33" s="232" t="s">
        <v>580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</row>
    <row r="34" spans="1:18" ht="19.95" customHeight="1" x14ac:dyDescent="0.35">
      <c r="A34" s="232" t="s">
        <v>316</v>
      </c>
      <c r="B34" s="234" t="s">
        <v>509</v>
      </c>
      <c r="C34" s="232" t="s">
        <v>580</v>
      </c>
    </row>
    <row r="35" spans="1:18" ht="19.95" customHeight="1" x14ac:dyDescent="0.35">
      <c r="A35" s="232" t="s">
        <v>317</v>
      </c>
      <c r="B35" s="234" t="s">
        <v>248</v>
      </c>
      <c r="C35" s="232" t="s">
        <v>580</v>
      </c>
    </row>
    <row r="36" spans="1:18" ht="19.95" customHeight="1" x14ac:dyDescent="0.35">
      <c r="A36" s="232" t="s">
        <v>317</v>
      </c>
      <c r="B36" s="234" t="s">
        <v>510</v>
      </c>
      <c r="C36" s="232" t="s">
        <v>580</v>
      </c>
    </row>
    <row r="37" spans="1:18" ht="19.95" customHeight="1" x14ac:dyDescent="0.35">
      <c r="A37" s="232" t="s">
        <v>317</v>
      </c>
      <c r="B37" s="234" t="s">
        <v>147</v>
      </c>
      <c r="C37" s="232" t="s">
        <v>580</v>
      </c>
    </row>
    <row r="38" spans="1:18" ht="19.95" customHeight="1" x14ac:dyDescent="0.35">
      <c r="A38" s="232" t="s">
        <v>317</v>
      </c>
      <c r="B38" s="234" t="s">
        <v>168</v>
      </c>
      <c r="C38" s="232" t="s">
        <v>580</v>
      </c>
    </row>
    <row r="39" spans="1:18" ht="19.95" customHeight="1" x14ac:dyDescent="0.35">
      <c r="A39" s="232" t="s">
        <v>317</v>
      </c>
      <c r="B39" s="234" t="s">
        <v>249</v>
      </c>
      <c r="C39" s="232" t="s">
        <v>580</v>
      </c>
    </row>
    <row r="40" spans="1:18" ht="19.95" customHeight="1" x14ac:dyDescent="0.35">
      <c r="A40" s="232" t="s">
        <v>317</v>
      </c>
      <c r="B40" s="234" t="s">
        <v>183</v>
      </c>
      <c r="C40" s="232" t="s">
        <v>580</v>
      </c>
    </row>
    <row r="41" spans="1:18" ht="19.95" customHeight="1" x14ac:dyDescent="0.35">
      <c r="A41" s="232" t="s">
        <v>317</v>
      </c>
      <c r="B41" s="234" t="s">
        <v>532</v>
      </c>
      <c r="C41" s="232" t="s">
        <v>580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</row>
    <row r="42" spans="1:18" ht="19.95" customHeight="1" x14ac:dyDescent="0.35">
      <c r="A42" s="232" t="s">
        <v>318</v>
      </c>
      <c r="B42" s="234" t="s">
        <v>511</v>
      </c>
      <c r="C42" s="232" t="s">
        <v>580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</row>
    <row r="43" spans="1:18" ht="19.95" customHeight="1" x14ac:dyDescent="0.35">
      <c r="A43" s="232" t="s">
        <v>318</v>
      </c>
      <c r="B43" s="234" t="s">
        <v>60</v>
      </c>
      <c r="C43" s="232" t="s">
        <v>580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</row>
    <row r="44" spans="1:18" ht="19.95" customHeight="1" x14ac:dyDescent="0.35">
      <c r="A44" s="232" t="s">
        <v>318</v>
      </c>
      <c r="B44" s="234" t="s">
        <v>444</v>
      </c>
      <c r="C44" s="232" t="s">
        <v>580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</row>
    <row r="45" spans="1:18" ht="19.95" customHeight="1" x14ac:dyDescent="0.35">
      <c r="A45" s="232" t="s">
        <v>318</v>
      </c>
      <c r="B45" s="234" t="s">
        <v>512</v>
      </c>
      <c r="C45" s="232" t="s">
        <v>580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</row>
    <row r="46" spans="1:18" ht="19.95" customHeight="1" x14ac:dyDescent="0.35">
      <c r="A46" s="232" t="s">
        <v>318</v>
      </c>
      <c r="B46" s="234" t="s">
        <v>513</v>
      </c>
      <c r="C46" s="232" t="s">
        <v>580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</row>
    <row r="47" spans="1:18" ht="19.95" customHeight="1" x14ac:dyDescent="0.35">
      <c r="A47" s="232" t="s">
        <v>318</v>
      </c>
      <c r="B47" s="234" t="s">
        <v>28</v>
      </c>
      <c r="C47" s="232" t="s">
        <v>580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</row>
    <row r="48" spans="1:18" ht="19.95" customHeight="1" x14ac:dyDescent="0.35">
      <c r="A48" s="232" t="s">
        <v>318</v>
      </c>
      <c r="B48" s="234" t="s">
        <v>544</v>
      </c>
      <c r="C48" s="232" t="s">
        <v>580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</row>
    <row r="49" spans="1:18" ht="19.95" customHeight="1" x14ac:dyDescent="0.35">
      <c r="A49" s="232" t="s">
        <v>318</v>
      </c>
      <c r="B49" s="234" t="s">
        <v>514</v>
      </c>
      <c r="C49" s="232" t="s">
        <v>580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</row>
    <row r="50" spans="1:18" ht="19.95" customHeight="1" x14ac:dyDescent="0.35">
      <c r="A50" s="232" t="s">
        <v>319</v>
      </c>
      <c r="B50" s="234" t="s">
        <v>203</v>
      </c>
      <c r="C50" s="232" t="s">
        <v>580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</row>
    <row r="51" spans="1:18" ht="19.95" customHeight="1" x14ac:dyDescent="0.35">
      <c r="A51" s="232" t="s">
        <v>319</v>
      </c>
      <c r="B51" s="234" t="s">
        <v>403</v>
      </c>
      <c r="C51" s="232" t="s">
        <v>580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</row>
    <row r="52" spans="1:18" ht="19.95" customHeight="1" x14ac:dyDescent="0.35">
      <c r="A52" s="232" t="s">
        <v>319</v>
      </c>
      <c r="B52" s="234" t="s">
        <v>61</v>
      </c>
      <c r="C52" s="232" t="s">
        <v>580</v>
      </c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</row>
    <row r="53" spans="1:18" ht="19.95" customHeight="1" x14ac:dyDescent="0.35">
      <c r="A53" s="232" t="s">
        <v>319</v>
      </c>
      <c r="B53" s="234" t="s">
        <v>440</v>
      </c>
      <c r="C53" s="232" t="s">
        <v>580</v>
      </c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</row>
    <row r="54" spans="1:18" ht="19.95" customHeight="1" x14ac:dyDescent="0.35">
      <c r="A54" s="232" t="s">
        <v>319</v>
      </c>
      <c r="B54" s="234" t="s">
        <v>515</v>
      </c>
      <c r="C54" s="232" t="s">
        <v>580</v>
      </c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</row>
    <row r="55" spans="1:18" ht="19.95" customHeight="1" x14ac:dyDescent="0.35">
      <c r="A55" s="232" t="s">
        <v>319</v>
      </c>
      <c r="B55" s="234" t="s">
        <v>516</v>
      </c>
      <c r="C55" s="232" t="s">
        <v>580</v>
      </c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</row>
    <row r="56" spans="1:18" ht="19.95" customHeight="1" x14ac:dyDescent="0.35">
      <c r="A56" s="232" t="s">
        <v>319</v>
      </c>
      <c r="B56" s="234" t="s">
        <v>517</v>
      </c>
      <c r="C56" s="232" t="s">
        <v>580</v>
      </c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</row>
    <row r="57" spans="1:18" ht="19.95" customHeight="1" x14ac:dyDescent="0.35">
      <c r="A57" s="232" t="s">
        <v>319</v>
      </c>
      <c r="B57" s="234" t="s">
        <v>518</v>
      </c>
      <c r="C57" s="232" t="s">
        <v>580</v>
      </c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</row>
    <row r="58" spans="1:18" ht="19.95" customHeight="1" x14ac:dyDescent="0.35">
      <c r="A58" s="232" t="s">
        <v>320</v>
      </c>
      <c r="B58" s="233" t="s">
        <v>519</v>
      </c>
      <c r="C58" s="232" t="s">
        <v>580</v>
      </c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</row>
    <row r="59" spans="1:18" ht="19.95" customHeight="1" x14ac:dyDescent="0.35">
      <c r="A59" s="232" t="s">
        <v>320</v>
      </c>
      <c r="B59" s="234" t="s">
        <v>520</v>
      </c>
      <c r="C59" s="232" t="s">
        <v>580</v>
      </c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</row>
    <row r="60" spans="1:18" ht="19.95" customHeight="1" x14ac:dyDescent="0.35">
      <c r="A60" s="232" t="s">
        <v>320</v>
      </c>
      <c r="B60" s="234" t="s">
        <v>545</v>
      </c>
      <c r="C60" s="232" t="s">
        <v>580</v>
      </c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</row>
    <row r="61" spans="1:18" ht="19.95" customHeight="1" x14ac:dyDescent="0.35">
      <c r="A61" s="232" t="s">
        <v>320</v>
      </c>
      <c r="B61" s="234" t="s">
        <v>589</v>
      </c>
      <c r="C61" s="232" t="s">
        <v>580</v>
      </c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</row>
    <row r="62" spans="1:18" ht="19.95" customHeight="1" x14ac:dyDescent="0.35">
      <c r="A62" s="232" t="s">
        <v>320</v>
      </c>
      <c r="B62" s="234" t="s">
        <v>522</v>
      </c>
      <c r="C62" s="232" t="s">
        <v>580</v>
      </c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</row>
    <row r="63" spans="1:18" ht="19.95" customHeight="1" x14ac:dyDescent="0.35">
      <c r="A63" s="232" t="s">
        <v>320</v>
      </c>
      <c r="B63" s="234" t="s">
        <v>523</v>
      </c>
      <c r="C63" s="232" t="s">
        <v>580</v>
      </c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</row>
    <row r="64" spans="1:18" ht="19.95" customHeight="1" x14ac:dyDescent="0.35">
      <c r="A64" s="232" t="s">
        <v>320</v>
      </c>
      <c r="B64" s="234" t="s">
        <v>436</v>
      </c>
      <c r="C64" s="232" t="s">
        <v>580</v>
      </c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</row>
    <row r="65" spans="1:18" ht="19.95" customHeight="1" x14ac:dyDescent="0.35">
      <c r="A65" s="232" t="s">
        <v>320</v>
      </c>
      <c r="B65" s="234" t="s">
        <v>521</v>
      </c>
      <c r="C65" s="232" t="s">
        <v>580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</row>
    <row r="66" spans="1:18" ht="19.95" customHeight="1" x14ac:dyDescent="0.35">
      <c r="A66" s="232" t="s">
        <v>320</v>
      </c>
      <c r="B66" s="234" t="s">
        <v>594</v>
      </c>
      <c r="C66" s="232" t="s">
        <v>580</v>
      </c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</row>
    <row r="67" spans="1:18" ht="19.95" customHeight="1" x14ac:dyDescent="0.35">
      <c r="A67" s="232" t="s">
        <v>320</v>
      </c>
      <c r="B67" s="234" t="s">
        <v>595</v>
      </c>
      <c r="C67" s="232" t="s">
        <v>580</v>
      </c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</row>
    <row r="68" spans="1:18" ht="19.95" customHeight="1" x14ac:dyDescent="0.35">
      <c r="A68" s="232" t="s">
        <v>287</v>
      </c>
      <c r="B68" s="234" t="s">
        <v>167</v>
      </c>
      <c r="C68" s="232" t="s">
        <v>581</v>
      </c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</row>
    <row r="69" spans="1:18" ht="19.95" customHeight="1" x14ac:dyDescent="0.35">
      <c r="A69" s="232" t="s">
        <v>288</v>
      </c>
      <c r="B69" s="234" t="s">
        <v>192</v>
      </c>
      <c r="C69" s="232" t="s">
        <v>581</v>
      </c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</row>
    <row r="70" spans="1:18" ht="19.95" customHeight="1" x14ac:dyDescent="0.35">
      <c r="A70" s="232" t="s">
        <v>316</v>
      </c>
      <c r="B70" s="234" t="s">
        <v>438</v>
      </c>
      <c r="C70" s="232" t="s">
        <v>581</v>
      </c>
    </row>
    <row r="71" spans="1:18" ht="19.95" customHeight="1" x14ac:dyDescent="0.35">
      <c r="A71" s="232" t="s">
        <v>317</v>
      </c>
      <c r="B71" s="234" t="s">
        <v>542</v>
      </c>
      <c r="C71" s="232" t="s">
        <v>581</v>
      </c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</row>
    <row r="72" spans="1:18" ht="19.95" customHeight="1" x14ac:dyDescent="0.35">
      <c r="A72" s="232" t="s">
        <v>318</v>
      </c>
      <c r="B72" s="234" t="s">
        <v>537</v>
      </c>
      <c r="C72" s="232" t="s">
        <v>581</v>
      </c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</row>
    <row r="73" spans="1:18" ht="19.95" customHeight="1" x14ac:dyDescent="0.35">
      <c r="A73" s="232" t="s">
        <v>319</v>
      </c>
      <c r="B73" s="234" t="s">
        <v>400</v>
      </c>
      <c r="C73" s="232" t="s">
        <v>581</v>
      </c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</row>
    <row r="74" spans="1:18" ht="19.95" customHeight="1" x14ac:dyDescent="0.35">
      <c r="A74" s="232" t="s">
        <v>320</v>
      </c>
      <c r="B74" s="234" t="s">
        <v>554</v>
      </c>
      <c r="C74" s="232" t="s">
        <v>581</v>
      </c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</row>
    <row r="75" spans="1:18" ht="19.95" customHeight="1" x14ac:dyDescent="0.35">
      <c r="A75" s="232" t="s">
        <v>302</v>
      </c>
      <c r="B75" s="234" t="s">
        <v>170</v>
      </c>
      <c r="C75" s="232" t="s">
        <v>582</v>
      </c>
    </row>
    <row r="76" spans="1:18" ht="19.95" customHeight="1" x14ac:dyDescent="0.35">
      <c r="A76" s="232" t="s">
        <v>322</v>
      </c>
      <c r="B76" s="234" t="s">
        <v>189</v>
      </c>
      <c r="C76" s="232" t="s">
        <v>582</v>
      </c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</row>
    <row r="77" spans="1:18" ht="19.95" customHeight="1" x14ac:dyDescent="0.35">
      <c r="A77" s="232" t="s">
        <v>323</v>
      </c>
      <c r="B77" s="234" t="s">
        <v>187</v>
      </c>
      <c r="C77" s="232" t="s">
        <v>582</v>
      </c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</row>
    <row r="78" spans="1:18" ht="19.95" customHeight="1" x14ac:dyDescent="0.35">
      <c r="A78" s="232" t="s">
        <v>270</v>
      </c>
      <c r="B78" s="234" t="s">
        <v>525</v>
      </c>
      <c r="C78" s="239" t="s">
        <v>583</v>
      </c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</row>
    <row r="79" spans="1:18" ht="19.95" customHeight="1" x14ac:dyDescent="0.35">
      <c r="A79" s="232" t="s">
        <v>316</v>
      </c>
      <c r="B79" s="234" t="s">
        <v>524</v>
      </c>
      <c r="C79" s="239" t="s">
        <v>583</v>
      </c>
    </row>
    <row r="80" spans="1:18" s="170" customFormat="1" ht="19.95" customHeight="1" x14ac:dyDescent="0.35">
      <c r="A80" s="232" t="s">
        <v>318</v>
      </c>
      <c r="B80" s="234" t="s">
        <v>534</v>
      </c>
      <c r="C80" s="239" t="s">
        <v>583</v>
      </c>
    </row>
    <row r="81" spans="1:18" ht="19.95" customHeight="1" x14ac:dyDescent="0.35">
      <c r="A81" s="232" t="s">
        <v>354</v>
      </c>
      <c r="B81" s="234" t="s">
        <v>56</v>
      </c>
      <c r="C81" s="232" t="s">
        <v>584</v>
      </c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</row>
    <row r="82" spans="1:18" ht="19.95" customHeight="1" x14ac:dyDescent="0.35">
      <c r="A82" s="232" t="s">
        <v>270</v>
      </c>
      <c r="B82" s="234" t="s">
        <v>256</v>
      </c>
      <c r="C82" s="232" t="s">
        <v>585</v>
      </c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</row>
    <row r="83" spans="1:18" ht="19.95" customHeight="1" x14ac:dyDescent="0.35">
      <c r="A83" s="232" t="s">
        <v>23</v>
      </c>
      <c r="B83" s="234" t="s">
        <v>346</v>
      </c>
      <c r="C83" s="232" t="s">
        <v>585</v>
      </c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</row>
    <row r="84" spans="1:18" ht="19.95" customHeight="1" x14ac:dyDescent="0.35">
      <c r="A84" s="232" t="s">
        <v>131</v>
      </c>
      <c r="B84" s="234" t="s">
        <v>246</v>
      </c>
      <c r="C84" s="232" t="s">
        <v>585</v>
      </c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</row>
    <row r="85" spans="1:18" s="170" customFormat="1" ht="19.95" customHeight="1" x14ac:dyDescent="0.35">
      <c r="A85" s="232" t="s">
        <v>131</v>
      </c>
      <c r="B85" s="234" t="s">
        <v>507</v>
      </c>
      <c r="C85" s="232" t="s">
        <v>585</v>
      </c>
    </row>
    <row r="86" spans="1:18" ht="19.95" customHeight="1" x14ac:dyDescent="0.35">
      <c r="A86" s="232" t="s">
        <v>15</v>
      </c>
      <c r="B86" s="234" t="s">
        <v>175</v>
      </c>
      <c r="C86" s="239" t="s">
        <v>586</v>
      </c>
    </row>
    <row r="87" spans="1:18" ht="19.95" customHeight="1" x14ac:dyDescent="0.35">
      <c r="A87" s="232" t="s">
        <v>52</v>
      </c>
      <c r="B87" s="234" t="s">
        <v>202</v>
      </c>
      <c r="C87" s="239" t="s">
        <v>586</v>
      </c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</row>
    <row r="88" spans="1:18" ht="19.95" customHeight="1" x14ac:dyDescent="0.35">
      <c r="A88" s="232" t="s">
        <v>131</v>
      </c>
      <c r="B88" s="234" t="s">
        <v>526</v>
      </c>
      <c r="C88" s="239" t="s">
        <v>586</v>
      </c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</row>
    <row r="89" spans="1:18" s="170" customFormat="1" ht="19.95" customHeight="1" x14ac:dyDescent="0.35">
      <c r="A89" s="232" t="s">
        <v>197</v>
      </c>
      <c r="B89" s="234" t="s">
        <v>527</v>
      </c>
      <c r="C89" s="239" t="s">
        <v>586</v>
      </c>
    </row>
    <row r="90" spans="1:18" ht="19.95" customHeight="1" x14ac:dyDescent="0.35">
      <c r="A90" s="232" t="s">
        <v>15</v>
      </c>
      <c r="B90" s="234" t="s">
        <v>169</v>
      </c>
      <c r="C90" s="232" t="s">
        <v>587</v>
      </c>
    </row>
    <row r="91" spans="1:18" s="170" customFormat="1" ht="19.95" customHeight="1" x14ac:dyDescent="0.35">
      <c r="A91" s="232" t="s">
        <v>131</v>
      </c>
      <c r="B91" s="234" t="s">
        <v>347</v>
      </c>
      <c r="C91" s="232" t="s">
        <v>587</v>
      </c>
    </row>
    <row r="92" spans="1:18" ht="19.95" customHeight="1" x14ac:dyDescent="0.35">
      <c r="A92" s="232" t="s">
        <v>355</v>
      </c>
      <c r="B92" s="234" t="s">
        <v>498</v>
      </c>
      <c r="C92" s="239" t="s">
        <v>577</v>
      </c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</row>
    <row r="93" spans="1:18" ht="19.95" customHeight="1" x14ac:dyDescent="0.35">
      <c r="A93" s="232" t="s">
        <v>270</v>
      </c>
      <c r="B93" s="234" t="s">
        <v>130</v>
      </c>
      <c r="C93" s="235" t="s">
        <v>576</v>
      </c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</row>
    <row r="94" spans="1:18" ht="19.95" customHeight="1" x14ac:dyDescent="0.35">
      <c r="A94" s="232" t="s">
        <v>316</v>
      </c>
      <c r="B94" s="234" t="s">
        <v>528</v>
      </c>
      <c r="C94" s="235" t="s">
        <v>576</v>
      </c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</row>
    <row r="95" spans="1:18" ht="19.95" customHeight="1" x14ac:dyDescent="0.35">
      <c r="A95" s="232" t="s">
        <v>316</v>
      </c>
      <c r="B95" s="234" t="s">
        <v>27</v>
      </c>
      <c r="C95" s="235" t="s">
        <v>576</v>
      </c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</row>
    <row r="96" spans="1:18" ht="19.95" customHeight="1" x14ac:dyDescent="0.35">
      <c r="A96" s="232" t="s">
        <v>316</v>
      </c>
      <c r="B96" s="234" t="s">
        <v>32</v>
      </c>
      <c r="C96" s="235" t="s">
        <v>576</v>
      </c>
    </row>
    <row r="97" spans="1:18" ht="19.95" customHeight="1" x14ac:dyDescent="0.35">
      <c r="A97" s="232" t="s">
        <v>317</v>
      </c>
      <c r="B97" s="234" t="s">
        <v>190</v>
      </c>
      <c r="C97" s="235" t="s">
        <v>576</v>
      </c>
    </row>
    <row r="98" spans="1:18" ht="19.95" customHeight="1" x14ac:dyDescent="0.35">
      <c r="A98" s="232" t="s">
        <v>317</v>
      </c>
      <c r="B98" s="234" t="s">
        <v>127</v>
      </c>
      <c r="C98" s="235" t="s">
        <v>576</v>
      </c>
    </row>
    <row r="99" spans="1:18" ht="19.95" customHeight="1" x14ac:dyDescent="0.35">
      <c r="A99" s="232" t="s">
        <v>317</v>
      </c>
      <c r="B99" s="234" t="s">
        <v>201</v>
      </c>
      <c r="C99" s="235" t="s">
        <v>576</v>
      </c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</row>
    <row r="100" spans="1:18" ht="19.95" customHeight="1" x14ac:dyDescent="0.35">
      <c r="A100" s="232" t="s">
        <v>318</v>
      </c>
      <c r="B100" s="234" t="s">
        <v>188</v>
      </c>
      <c r="C100" s="235" t="s">
        <v>576</v>
      </c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</row>
    <row r="101" spans="1:18" ht="19.95" customHeight="1" x14ac:dyDescent="0.35">
      <c r="A101" s="232" t="s">
        <v>318</v>
      </c>
      <c r="B101" s="234" t="s">
        <v>401</v>
      </c>
      <c r="C101" s="235" t="s">
        <v>576</v>
      </c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</row>
    <row r="102" spans="1:18" ht="19.95" customHeight="1" x14ac:dyDescent="0.35">
      <c r="A102" s="232" t="s">
        <v>318</v>
      </c>
      <c r="B102" s="234" t="s">
        <v>553</v>
      </c>
      <c r="C102" s="235" t="s">
        <v>576</v>
      </c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</row>
    <row r="103" spans="1:18" ht="19.95" customHeight="1" x14ac:dyDescent="0.35">
      <c r="A103" s="232" t="s">
        <v>319</v>
      </c>
      <c r="B103" s="234" t="s">
        <v>550</v>
      </c>
      <c r="C103" s="235" t="s">
        <v>576</v>
      </c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</row>
    <row r="104" spans="1:18" ht="19.95" customHeight="1" x14ac:dyDescent="0.35">
      <c r="A104" s="232" t="s">
        <v>319</v>
      </c>
      <c r="B104" s="234" t="s">
        <v>535</v>
      </c>
      <c r="C104" s="235" t="s">
        <v>576</v>
      </c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</row>
    <row r="105" spans="1:18" ht="19.95" customHeight="1" x14ac:dyDescent="0.35">
      <c r="A105" s="232" t="s">
        <v>319</v>
      </c>
      <c r="B105" s="234" t="s">
        <v>536</v>
      </c>
      <c r="C105" s="235" t="s">
        <v>576</v>
      </c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</row>
    <row r="106" spans="1:18" ht="19.95" customHeight="1" x14ac:dyDescent="0.35">
      <c r="A106" s="232" t="s">
        <v>319</v>
      </c>
      <c r="B106" s="234" t="s">
        <v>439</v>
      </c>
      <c r="C106" s="235" t="s">
        <v>576</v>
      </c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</row>
    <row r="107" spans="1:18" ht="19.95" customHeight="1" x14ac:dyDescent="0.35">
      <c r="A107" s="232" t="s">
        <v>320</v>
      </c>
      <c r="B107" s="234" t="s">
        <v>427</v>
      </c>
      <c r="C107" s="235" t="s">
        <v>576</v>
      </c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</row>
    <row r="108" spans="1:18" ht="19.95" customHeight="1" x14ac:dyDescent="0.35">
      <c r="A108" s="232" t="s">
        <v>320</v>
      </c>
      <c r="B108" s="234" t="s">
        <v>428</v>
      </c>
      <c r="C108" s="235" t="s">
        <v>576</v>
      </c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</row>
    <row r="109" spans="1:18" s="170" customFormat="1" ht="19.95" customHeight="1" x14ac:dyDescent="0.35">
      <c r="A109" s="232" t="s">
        <v>320</v>
      </c>
      <c r="B109" s="234" t="s">
        <v>429</v>
      </c>
      <c r="C109" s="235" t="s">
        <v>576</v>
      </c>
    </row>
    <row r="110" spans="1:18" ht="19.95" customHeight="1" x14ac:dyDescent="0.35">
      <c r="A110" s="232" t="s">
        <v>270</v>
      </c>
      <c r="B110" s="234" t="s">
        <v>35</v>
      </c>
      <c r="C110" s="235" t="s">
        <v>575</v>
      </c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</row>
    <row r="111" spans="1:18" ht="19.95" customHeight="1" x14ac:dyDescent="0.35">
      <c r="A111" s="232" t="s">
        <v>500</v>
      </c>
      <c r="B111" s="234" t="s">
        <v>46</v>
      </c>
      <c r="C111" s="235" t="s">
        <v>575</v>
      </c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</row>
    <row r="112" spans="1:18" ht="19.95" customHeight="1" x14ac:dyDescent="0.35">
      <c r="A112" s="232" t="s">
        <v>486</v>
      </c>
      <c r="B112" s="234" t="s">
        <v>34</v>
      </c>
      <c r="C112" s="235" t="s">
        <v>575</v>
      </c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</row>
    <row r="113" spans="1:18" ht="19.95" customHeight="1" x14ac:dyDescent="0.35">
      <c r="A113" s="232" t="s">
        <v>497</v>
      </c>
      <c r="B113" s="234" t="s">
        <v>37</v>
      </c>
      <c r="C113" s="235" t="s">
        <v>575</v>
      </c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</row>
    <row r="114" spans="1:18" ht="19.95" customHeight="1" x14ac:dyDescent="0.35">
      <c r="A114" s="232" t="s">
        <v>501</v>
      </c>
      <c r="B114" s="234" t="s">
        <v>350</v>
      </c>
      <c r="C114" s="235" t="s">
        <v>575</v>
      </c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</row>
    <row r="115" spans="1:18" ht="19.95" customHeight="1" x14ac:dyDescent="0.35">
      <c r="A115" s="232" t="s">
        <v>496</v>
      </c>
      <c r="B115" s="234" t="s">
        <v>36</v>
      </c>
      <c r="C115" s="235" t="s">
        <v>575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</row>
    <row r="116" spans="1:18" ht="19.95" customHeight="1" x14ac:dyDescent="0.35">
      <c r="A116" s="232" t="s">
        <v>495</v>
      </c>
      <c r="B116" s="234" t="s">
        <v>351</v>
      </c>
      <c r="C116" s="235" t="s">
        <v>575</v>
      </c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</row>
    <row r="117" spans="1:18" ht="19.95" customHeight="1" x14ac:dyDescent="0.35">
      <c r="A117" s="232" t="s">
        <v>493</v>
      </c>
      <c r="B117" s="234" t="s">
        <v>404</v>
      </c>
      <c r="C117" s="235" t="s">
        <v>575</v>
      </c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</row>
    <row r="118" spans="1:18" ht="19.95" customHeight="1" x14ac:dyDescent="0.35">
      <c r="A118" s="232" t="s">
        <v>492</v>
      </c>
      <c r="B118" s="234" t="s">
        <v>40</v>
      </c>
      <c r="C118" s="235" t="s">
        <v>575</v>
      </c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</row>
    <row r="119" spans="1:18" ht="19.95" customHeight="1" x14ac:dyDescent="0.35">
      <c r="A119" s="232" t="s">
        <v>491</v>
      </c>
      <c r="B119" s="234" t="s">
        <v>41</v>
      </c>
      <c r="C119" s="235" t="s">
        <v>575</v>
      </c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</row>
    <row r="120" spans="1:18" ht="19.95" customHeight="1" x14ac:dyDescent="0.35">
      <c r="A120" s="232" t="s">
        <v>494</v>
      </c>
      <c r="B120" s="234" t="s">
        <v>254</v>
      </c>
      <c r="C120" s="235" t="s">
        <v>575</v>
      </c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</row>
    <row r="121" spans="1:18" ht="19.95" customHeight="1" x14ac:dyDescent="0.35">
      <c r="A121" s="232" t="s">
        <v>490</v>
      </c>
      <c r="B121" s="234" t="s">
        <v>42</v>
      </c>
      <c r="C121" s="235" t="s">
        <v>575</v>
      </c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</row>
    <row r="122" spans="1:18" ht="19.95" customHeight="1" x14ac:dyDescent="0.35">
      <c r="A122" s="232" t="s">
        <v>488</v>
      </c>
      <c r="B122" s="234" t="s">
        <v>43</v>
      </c>
      <c r="C122" s="235" t="s">
        <v>575</v>
      </c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</row>
    <row r="123" spans="1:18" ht="19.95" customHeight="1" x14ac:dyDescent="0.35">
      <c r="A123" s="232" t="s">
        <v>489</v>
      </c>
      <c r="B123" s="234" t="s">
        <v>88</v>
      </c>
      <c r="C123" s="235" t="s">
        <v>575</v>
      </c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</row>
    <row r="124" spans="1:18" s="170" customFormat="1" ht="19.95" customHeight="1" x14ac:dyDescent="0.35">
      <c r="A124" s="232" t="s">
        <v>487</v>
      </c>
      <c r="B124" s="234" t="s">
        <v>45</v>
      </c>
      <c r="C124" s="235" t="s">
        <v>575</v>
      </c>
    </row>
    <row r="125" spans="1:18" ht="19.95" customHeight="1" x14ac:dyDescent="0.35">
      <c r="A125" s="232" t="s">
        <v>301</v>
      </c>
      <c r="B125" s="234" t="s">
        <v>19</v>
      </c>
      <c r="C125" s="239" t="s">
        <v>574</v>
      </c>
    </row>
    <row r="126" spans="1:18" ht="19.95" customHeight="1" x14ac:dyDescent="0.35">
      <c r="A126" s="232" t="s">
        <v>52</v>
      </c>
      <c r="B126" s="234" t="s">
        <v>20</v>
      </c>
      <c r="C126" s="239" t="s">
        <v>574</v>
      </c>
    </row>
    <row r="127" spans="1:18" ht="19.95" customHeight="1" x14ac:dyDescent="0.35">
      <c r="A127" s="232" t="s">
        <v>52</v>
      </c>
      <c r="B127" s="234" t="s">
        <v>117</v>
      </c>
      <c r="C127" s="239" t="s">
        <v>574</v>
      </c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</row>
    <row r="128" spans="1:18" ht="19.95" customHeight="1" x14ac:dyDescent="0.35">
      <c r="A128" s="232" t="s">
        <v>52</v>
      </c>
      <c r="B128" s="234" t="s">
        <v>53</v>
      </c>
      <c r="C128" s="239" t="s">
        <v>574</v>
      </c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</row>
    <row r="129" spans="1:18" ht="19.95" customHeight="1" x14ac:dyDescent="0.35">
      <c r="A129" s="232" t="s">
        <v>131</v>
      </c>
      <c r="B129" s="234" t="s">
        <v>405</v>
      </c>
      <c r="C129" s="239" t="s">
        <v>574</v>
      </c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</row>
    <row r="130" spans="1:18" ht="19.95" customHeight="1" x14ac:dyDescent="0.35">
      <c r="A130" s="232" t="s">
        <v>197</v>
      </c>
      <c r="B130" s="234" t="s">
        <v>55</v>
      </c>
      <c r="C130" s="239" t="s">
        <v>574</v>
      </c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</row>
    <row r="131" spans="1:18" ht="19.95" customHeight="1" x14ac:dyDescent="0.35">
      <c r="A131" s="232" t="s">
        <v>197</v>
      </c>
      <c r="B131" s="234" t="s">
        <v>59</v>
      </c>
      <c r="C131" s="239" t="s">
        <v>574</v>
      </c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</row>
    <row r="132" spans="1:18" ht="19.95" customHeight="1" x14ac:dyDescent="0.35">
      <c r="A132" s="232" t="s">
        <v>134</v>
      </c>
      <c r="B132" s="234" t="s">
        <v>543</v>
      </c>
      <c r="C132" s="239" t="s">
        <v>574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</row>
    <row r="133" spans="1:18" ht="19.95" customHeight="1" x14ac:dyDescent="0.35">
      <c r="A133" s="232" t="s">
        <v>134</v>
      </c>
      <c r="B133" s="234" t="s">
        <v>198</v>
      </c>
      <c r="C133" s="239" t="s">
        <v>574</v>
      </c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</row>
    <row r="134" spans="1:18" s="170" customFormat="1" ht="19.95" customHeight="1" x14ac:dyDescent="0.35">
      <c r="A134" s="232" t="s">
        <v>134</v>
      </c>
      <c r="B134" s="234" t="s">
        <v>431</v>
      </c>
      <c r="C134" s="239" t="s">
        <v>574</v>
      </c>
    </row>
    <row r="135" spans="1:18" s="170" customFormat="1" ht="19.95" customHeight="1" x14ac:dyDescent="0.35">
      <c r="A135" s="232" t="s">
        <v>302</v>
      </c>
      <c r="B135" s="234" t="s">
        <v>51</v>
      </c>
      <c r="C135" s="239" t="s">
        <v>573</v>
      </c>
    </row>
    <row r="136" spans="1:18" ht="19.95" customHeight="1" x14ac:dyDescent="0.35">
      <c r="A136" s="232" t="s">
        <v>134</v>
      </c>
      <c r="B136" s="234" t="s">
        <v>54</v>
      </c>
      <c r="C136" s="239" t="s">
        <v>573</v>
      </c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</row>
    <row r="137" spans="1:18" ht="19.95" customHeight="1" x14ac:dyDescent="0.35">
      <c r="A137" s="232" t="s">
        <v>15</v>
      </c>
      <c r="B137" s="234" t="s">
        <v>17</v>
      </c>
      <c r="C137" s="239" t="s">
        <v>572</v>
      </c>
    </row>
    <row r="138" spans="1:18" ht="19.95" customHeight="1" x14ac:dyDescent="0.35">
      <c r="A138" s="232" t="s">
        <v>23</v>
      </c>
      <c r="B138" s="234" t="s">
        <v>18</v>
      </c>
      <c r="C138" s="239" t="s">
        <v>572</v>
      </c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</row>
    <row r="139" spans="1:18" ht="19.95" customHeight="1" x14ac:dyDescent="0.35">
      <c r="A139" s="232" t="s">
        <v>52</v>
      </c>
      <c r="B139" s="234" t="s">
        <v>237</v>
      </c>
      <c r="C139" s="239" t="s">
        <v>572</v>
      </c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</row>
    <row r="140" spans="1:18" s="170" customFormat="1" ht="19.95" customHeight="1" x14ac:dyDescent="0.35">
      <c r="A140" s="232" t="s">
        <v>131</v>
      </c>
      <c r="B140" s="234" t="s">
        <v>258</v>
      </c>
      <c r="C140" s="239" t="s">
        <v>572</v>
      </c>
    </row>
    <row r="141" spans="1:18" s="170" customFormat="1" ht="19.95" customHeight="1" x14ac:dyDescent="0.35">
      <c r="A141" s="232" t="s">
        <v>15</v>
      </c>
      <c r="B141" s="234" t="s">
        <v>110</v>
      </c>
      <c r="C141" s="239" t="s">
        <v>571</v>
      </c>
    </row>
    <row r="142" spans="1:18" s="170" customFormat="1" ht="19.95" customHeight="1" x14ac:dyDescent="0.35">
      <c r="A142" s="232" t="s">
        <v>131</v>
      </c>
      <c r="B142" s="234" t="s">
        <v>433</v>
      </c>
      <c r="C142" s="239" t="s">
        <v>571</v>
      </c>
    </row>
    <row r="143" spans="1:18" s="170" customFormat="1" ht="19.95" customHeight="1" x14ac:dyDescent="0.35">
      <c r="A143" s="232" t="s">
        <v>131</v>
      </c>
      <c r="B143" s="234" t="s">
        <v>153</v>
      </c>
      <c r="C143" s="239" t="s">
        <v>571</v>
      </c>
    </row>
    <row r="144" spans="1:18" s="170" customFormat="1" ht="19.95" customHeight="1" x14ac:dyDescent="0.35">
      <c r="A144" s="232" t="s">
        <v>197</v>
      </c>
      <c r="B144" s="234" t="s">
        <v>66</v>
      </c>
      <c r="C144" s="239" t="s">
        <v>571</v>
      </c>
    </row>
    <row r="145" spans="1:18" s="170" customFormat="1" ht="19.95" customHeight="1" x14ac:dyDescent="0.35">
      <c r="A145" s="232" t="s">
        <v>134</v>
      </c>
      <c r="B145" s="234" t="s">
        <v>108</v>
      </c>
      <c r="C145" s="239" t="s">
        <v>571</v>
      </c>
    </row>
    <row r="146" spans="1:18" s="170" customFormat="1" ht="19.95" customHeight="1" x14ac:dyDescent="0.35">
      <c r="A146" s="232" t="s">
        <v>52</v>
      </c>
      <c r="B146" s="234" t="s">
        <v>597</v>
      </c>
      <c r="C146" s="232" t="s">
        <v>570</v>
      </c>
    </row>
    <row r="147" spans="1:18" s="170" customFormat="1" ht="19.95" customHeight="1" x14ac:dyDescent="0.35">
      <c r="A147" s="232" t="s">
        <v>52</v>
      </c>
      <c r="B147" s="234" t="s">
        <v>598</v>
      </c>
      <c r="C147" s="232" t="s">
        <v>570</v>
      </c>
    </row>
    <row r="148" spans="1:18" ht="19.95" customHeight="1" x14ac:dyDescent="0.35">
      <c r="A148" s="232" t="s">
        <v>131</v>
      </c>
      <c r="B148" s="234" t="s">
        <v>409</v>
      </c>
      <c r="C148" s="232" t="s">
        <v>570</v>
      </c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</row>
    <row r="149" spans="1:18" s="170" customFormat="1" ht="19.95" customHeight="1" x14ac:dyDescent="0.35">
      <c r="A149" s="232" t="s">
        <v>15</v>
      </c>
      <c r="B149" s="234" t="s">
        <v>109</v>
      </c>
      <c r="C149" s="239" t="s">
        <v>569</v>
      </c>
    </row>
    <row r="150" spans="1:18" s="170" customFormat="1" ht="19.95" customHeight="1" x14ac:dyDescent="0.35">
      <c r="A150" s="232" t="s">
        <v>52</v>
      </c>
      <c r="B150" s="234" t="s">
        <v>529</v>
      </c>
      <c r="C150" s="239" t="s">
        <v>569</v>
      </c>
    </row>
    <row r="151" spans="1:18" s="170" customFormat="1" ht="19.95" customHeight="1" x14ac:dyDescent="0.35">
      <c r="A151" s="232" t="s">
        <v>131</v>
      </c>
      <c r="B151" s="234" t="s">
        <v>540</v>
      </c>
      <c r="C151" s="239" t="s">
        <v>569</v>
      </c>
    </row>
    <row r="152" spans="1:18" s="170" customFormat="1" ht="19.95" customHeight="1" x14ac:dyDescent="0.35">
      <c r="A152" s="232" t="s">
        <v>15</v>
      </c>
      <c r="B152" s="234" t="s">
        <v>118</v>
      </c>
      <c r="C152" s="232" t="s">
        <v>567</v>
      </c>
    </row>
    <row r="153" spans="1:18" s="170" customFormat="1" ht="19.95" customHeight="1" x14ac:dyDescent="0.35">
      <c r="A153" s="232" t="s">
        <v>131</v>
      </c>
      <c r="B153" s="233" t="s">
        <v>568</v>
      </c>
      <c r="C153" s="232" t="s">
        <v>567</v>
      </c>
    </row>
    <row r="154" spans="1:18" s="170" customFormat="1" ht="19.95" customHeight="1" x14ac:dyDescent="0.35">
      <c r="A154" s="232" t="s">
        <v>15</v>
      </c>
      <c r="B154" s="234" t="s">
        <v>64</v>
      </c>
      <c r="C154" s="232" t="s">
        <v>566</v>
      </c>
    </row>
    <row r="155" spans="1:18" s="170" customFormat="1" ht="19.95" customHeight="1" x14ac:dyDescent="0.35">
      <c r="A155" s="232" t="s">
        <v>52</v>
      </c>
      <c r="B155" s="234" t="s">
        <v>111</v>
      </c>
      <c r="C155" s="232" t="s">
        <v>566</v>
      </c>
    </row>
    <row r="156" spans="1:18" s="170" customFormat="1" ht="19.95" customHeight="1" x14ac:dyDescent="0.35">
      <c r="A156" s="232" t="s">
        <v>131</v>
      </c>
      <c r="B156" s="234" t="s">
        <v>555</v>
      </c>
      <c r="C156" s="232" t="s">
        <v>566</v>
      </c>
    </row>
    <row r="157" spans="1:18" s="170" customFormat="1" ht="19.95" customHeight="1" x14ac:dyDescent="0.35">
      <c r="A157" s="232" t="s">
        <v>197</v>
      </c>
      <c r="B157" s="234" t="s">
        <v>199</v>
      </c>
      <c r="C157" s="232" t="s">
        <v>566</v>
      </c>
    </row>
    <row r="158" spans="1:18" s="170" customFormat="1" ht="19.95" customHeight="1" x14ac:dyDescent="0.35">
      <c r="A158" s="232" t="s">
        <v>214</v>
      </c>
      <c r="B158" s="234" t="s">
        <v>150</v>
      </c>
      <c r="C158" s="239" t="s">
        <v>565</v>
      </c>
    </row>
    <row r="159" spans="1:18" s="170" customFormat="1" ht="19.95" customHeight="1" x14ac:dyDescent="0.35">
      <c r="A159" s="232" t="s">
        <v>23</v>
      </c>
      <c r="B159" s="234" t="s">
        <v>251</v>
      </c>
      <c r="C159" s="239" t="s">
        <v>564</v>
      </c>
    </row>
    <row r="160" spans="1:18" s="170" customFormat="1" ht="19.95" customHeight="1" x14ac:dyDescent="0.35">
      <c r="A160" s="232" t="s">
        <v>52</v>
      </c>
      <c r="B160" s="234" t="s">
        <v>85</v>
      </c>
      <c r="C160" s="239" t="s">
        <v>564</v>
      </c>
    </row>
    <row r="161" spans="1:18" s="170" customFormat="1" ht="19.95" customHeight="1" x14ac:dyDescent="0.35">
      <c r="A161" s="232" t="s">
        <v>131</v>
      </c>
      <c r="B161" s="234" t="s">
        <v>590</v>
      </c>
      <c r="C161" s="239" t="s">
        <v>564</v>
      </c>
    </row>
    <row r="162" spans="1:18" s="170" customFormat="1" ht="19.95" customHeight="1" x14ac:dyDescent="0.35">
      <c r="A162" s="232" t="s">
        <v>131</v>
      </c>
      <c r="B162" s="234" t="s">
        <v>105</v>
      </c>
      <c r="C162" s="239" t="s">
        <v>564</v>
      </c>
    </row>
    <row r="163" spans="1:18" s="170" customFormat="1" ht="19.95" customHeight="1" x14ac:dyDescent="0.35">
      <c r="A163" s="232" t="s">
        <v>197</v>
      </c>
      <c r="B163" s="234" t="s">
        <v>104</v>
      </c>
      <c r="C163" s="239" t="s">
        <v>564</v>
      </c>
    </row>
    <row r="164" spans="1:18" s="170" customFormat="1" ht="19.95" customHeight="1" x14ac:dyDescent="0.35">
      <c r="A164" s="232" t="s">
        <v>197</v>
      </c>
      <c r="B164" s="234" t="s">
        <v>101</v>
      </c>
      <c r="C164" s="239" t="s">
        <v>564</v>
      </c>
    </row>
    <row r="165" spans="1:18" s="170" customFormat="1" ht="19.95" customHeight="1" x14ac:dyDescent="0.35">
      <c r="A165" s="232" t="s">
        <v>197</v>
      </c>
      <c r="B165" s="234" t="s">
        <v>541</v>
      </c>
      <c r="C165" s="239" t="s">
        <v>564</v>
      </c>
    </row>
    <row r="166" spans="1:18" s="170" customFormat="1" ht="19.95" customHeight="1" x14ac:dyDescent="0.35">
      <c r="A166" s="232" t="s">
        <v>408</v>
      </c>
      <c r="B166" s="234" t="s">
        <v>119</v>
      </c>
      <c r="C166" s="239" t="s">
        <v>563</v>
      </c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</row>
    <row r="167" spans="1:18" s="170" customFormat="1" ht="19.95" customHeight="1" x14ac:dyDescent="0.35">
      <c r="A167" s="232" t="s">
        <v>411</v>
      </c>
      <c r="B167" s="234" t="s">
        <v>530</v>
      </c>
      <c r="C167" s="239" t="s">
        <v>563</v>
      </c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</row>
    <row r="168" spans="1:18" s="170" customFormat="1" ht="19.95" customHeight="1" x14ac:dyDescent="0.35">
      <c r="A168" s="232" t="s">
        <v>452</v>
      </c>
      <c r="B168" s="234" t="s">
        <v>72</v>
      </c>
      <c r="C168" s="239" t="s">
        <v>563</v>
      </c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</row>
    <row r="169" spans="1:18" s="170" customFormat="1" ht="19.95" customHeight="1" x14ac:dyDescent="0.35">
      <c r="A169" s="232" t="s">
        <v>453</v>
      </c>
      <c r="B169" s="234" t="s">
        <v>83</v>
      </c>
      <c r="C169" s="239" t="s">
        <v>563</v>
      </c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</row>
    <row r="170" spans="1:18" s="170" customFormat="1" ht="19.95" customHeight="1" x14ac:dyDescent="0.35">
      <c r="A170" s="232" t="s">
        <v>454</v>
      </c>
      <c r="B170" s="234" t="s">
        <v>73</v>
      </c>
      <c r="C170" s="239" t="s">
        <v>563</v>
      </c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</row>
    <row r="171" spans="1:18" s="170" customFormat="1" ht="19.95" customHeight="1" x14ac:dyDescent="0.35">
      <c r="A171" s="232" t="s">
        <v>455</v>
      </c>
      <c r="B171" s="234" t="s">
        <v>103</v>
      </c>
      <c r="C171" s="239" t="s">
        <v>563</v>
      </c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</row>
    <row r="172" spans="1:18" s="170" customFormat="1" ht="19.95" customHeight="1" x14ac:dyDescent="0.35">
      <c r="A172" s="232" t="s">
        <v>456</v>
      </c>
      <c r="B172" s="234" t="s">
        <v>70</v>
      </c>
      <c r="C172" s="239" t="s">
        <v>563</v>
      </c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</row>
    <row r="173" spans="1:18" s="170" customFormat="1" ht="19.95" customHeight="1" x14ac:dyDescent="0.35">
      <c r="A173" s="232" t="s">
        <v>457</v>
      </c>
      <c r="B173" s="234" t="s">
        <v>82</v>
      </c>
      <c r="C173" s="239" t="s">
        <v>563</v>
      </c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</row>
    <row r="174" spans="1:18" s="170" customFormat="1" ht="19.95" customHeight="1" x14ac:dyDescent="0.35">
      <c r="A174" s="232" t="s">
        <v>458</v>
      </c>
      <c r="B174" s="234" t="s">
        <v>76</v>
      </c>
      <c r="C174" s="239" t="s">
        <v>563</v>
      </c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</row>
    <row r="175" spans="1:18" s="170" customFormat="1" ht="19.95" customHeight="1" x14ac:dyDescent="0.35">
      <c r="A175" s="232" t="s">
        <v>459</v>
      </c>
      <c r="B175" s="234" t="s">
        <v>86</v>
      </c>
      <c r="C175" s="239" t="s">
        <v>563</v>
      </c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</row>
    <row r="176" spans="1:18" s="170" customFormat="1" ht="19.95" customHeight="1" x14ac:dyDescent="0.35">
      <c r="A176" s="232" t="s">
        <v>460</v>
      </c>
      <c r="B176" s="234" t="s">
        <v>79</v>
      </c>
      <c r="C176" s="239" t="s">
        <v>563</v>
      </c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</row>
    <row r="177" spans="1:18" s="170" customFormat="1" ht="19.95" customHeight="1" x14ac:dyDescent="0.35">
      <c r="A177" s="232" t="s">
        <v>462</v>
      </c>
      <c r="B177" s="234" t="s">
        <v>75</v>
      </c>
      <c r="C177" s="239" t="s">
        <v>563</v>
      </c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</row>
    <row r="178" spans="1:18" s="170" customFormat="1" ht="19.95" customHeight="1" x14ac:dyDescent="0.35">
      <c r="A178" s="232" t="s">
        <v>461</v>
      </c>
      <c r="B178" s="234" t="s">
        <v>123</v>
      </c>
      <c r="C178" s="239" t="s">
        <v>563</v>
      </c>
    </row>
    <row r="179" spans="1:18" s="170" customFormat="1" ht="19.95" customHeight="1" x14ac:dyDescent="0.35">
      <c r="A179" s="232" t="s">
        <v>463</v>
      </c>
      <c r="B179" s="234" t="s">
        <v>71</v>
      </c>
      <c r="C179" s="239" t="s">
        <v>563</v>
      </c>
    </row>
    <row r="180" spans="1:18" s="170" customFormat="1" ht="19.95" customHeight="1" x14ac:dyDescent="0.35">
      <c r="A180" s="232" t="s">
        <v>412</v>
      </c>
      <c r="B180" s="234" t="s">
        <v>531</v>
      </c>
      <c r="C180" s="239" t="s">
        <v>563</v>
      </c>
    </row>
    <row r="181" spans="1:18" s="170" customFormat="1" ht="19.95" customHeight="1" x14ac:dyDescent="0.35">
      <c r="A181" s="232" t="s">
        <v>468</v>
      </c>
      <c r="B181" s="234" t="s">
        <v>93</v>
      </c>
      <c r="C181" s="239" t="s">
        <v>563</v>
      </c>
    </row>
    <row r="182" spans="1:18" s="170" customFormat="1" ht="19.95" customHeight="1" x14ac:dyDescent="0.35">
      <c r="A182" s="232" t="s">
        <v>469</v>
      </c>
      <c r="B182" s="234" t="s">
        <v>94</v>
      </c>
      <c r="C182" s="239" t="s">
        <v>563</v>
      </c>
    </row>
    <row r="183" spans="1:18" s="170" customFormat="1" ht="19.95" customHeight="1" x14ac:dyDescent="0.35">
      <c r="A183" s="232" t="s">
        <v>482</v>
      </c>
      <c r="B183" s="234" t="s">
        <v>95</v>
      </c>
      <c r="C183" s="239" t="s">
        <v>563</v>
      </c>
    </row>
    <row r="184" spans="1:18" s="170" customFormat="1" ht="19.95" customHeight="1" x14ac:dyDescent="0.35">
      <c r="A184" s="232" t="s">
        <v>483</v>
      </c>
      <c r="B184" s="234" t="s">
        <v>87</v>
      </c>
      <c r="C184" s="239" t="s">
        <v>563</v>
      </c>
    </row>
    <row r="185" spans="1:18" s="170" customFormat="1" ht="19.95" customHeight="1" x14ac:dyDescent="0.35">
      <c r="A185" s="232" t="s">
        <v>467</v>
      </c>
      <c r="B185" s="234" t="s">
        <v>102</v>
      </c>
      <c r="C185" s="239" t="s">
        <v>563</v>
      </c>
    </row>
    <row r="186" spans="1:18" s="170" customFormat="1" ht="19.95" customHeight="1" x14ac:dyDescent="0.35">
      <c r="A186" s="232" t="s">
        <v>484</v>
      </c>
      <c r="B186" s="234" t="s">
        <v>77</v>
      </c>
      <c r="C186" s="239" t="s">
        <v>563</v>
      </c>
    </row>
    <row r="187" spans="1:18" s="170" customFormat="1" ht="19.95" customHeight="1" x14ac:dyDescent="0.35">
      <c r="A187" s="232" t="s">
        <v>197</v>
      </c>
      <c r="B187" s="234" t="s">
        <v>229</v>
      </c>
      <c r="C187" s="239" t="s">
        <v>563</v>
      </c>
    </row>
    <row r="188" spans="1:18" s="170" customFormat="1" ht="19.95" customHeight="1" x14ac:dyDescent="0.35">
      <c r="A188" s="232" t="s">
        <v>466</v>
      </c>
      <c r="B188" s="234" t="s">
        <v>100</v>
      </c>
      <c r="C188" s="239" t="s">
        <v>563</v>
      </c>
    </row>
    <row r="189" spans="1:18" s="170" customFormat="1" ht="19.95" customHeight="1" x14ac:dyDescent="0.35">
      <c r="A189" s="232" t="s">
        <v>470</v>
      </c>
      <c r="B189" s="234" t="s">
        <v>99</v>
      </c>
      <c r="C189" s="239" t="s">
        <v>563</v>
      </c>
    </row>
    <row r="190" spans="1:18" s="170" customFormat="1" ht="19.95" customHeight="1" x14ac:dyDescent="0.35">
      <c r="A190" s="232" t="s">
        <v>465</v>
      </c>
      <c r="B190" s="234" t="s">
        <v>97</v>
      </c>
      <c r="C190" s="239" t="s">
        <v>563</v>
      </c>
    </row>
    <row r="191" spans="1:18" s="170" customFormat="1" ht="19.95" customHeight="1" x14ac:dyDescent="0.35">
      <c r="A191" s="232" t="s">
        <v>474</v>
      </c>
      <c r="B191" s="234" t="s">
        <v>191</v>
      </c>
      <c r="C191" s="239" t="s">
        <v>563</v>
      </c>
    </row>
    <row r="192" spans="1:18" s="170" customFormat="1" ht="19.95" customHeight="1" x14ac:dyDescent="0.35">
      <c r="A192" s="232" t="s">
        <v>471</v>
      </c>
      <c r="B192" s="234" t="s">
        <v>152</v>
      </c>
      <c r="C192" s="239" t="s">
        <v>563</v>
      </c>
    </row>
    <row r="193" spans="1:18" s="170" customFormat="1" ht="19.95" customHeight="1" x14ac:dyDescent="0.35">
      <c r="A193" s="232" t="s">
        <v>473</v>
      </c>
      <c r="B193" s="234" t="s">
        <v>96</v>
      </c>
      <c r="C193" s="239" t="s">
        <v>563</v>
      </c>
    </row>
    <row r="194" spans="1:18" s="170" customFormat="1" ht="19.95" customHeight="1" x14ac:dyDescent="0.35">
      <c r="A194" s="232" t="s">
        <v>197</v>
      </c>
      <c r="B194" s="234" t="s">
        <v>80</v>
      </c>
      <c r="C194" s="239" t="s">
        <v>563</v>
      </c>
    </row>
    <row r="195" spans="1:18" s="170" customFormat="1" ht="19.95" customHeight="1" x14ac:dyDescent="0.35">
      <c r="A195" s="232" t="s">
        <v>473</v>
      </c>
      <c r="B195" s="234" t="s">
        <v>92</v>
      </c>
      <c r="C195" s="239" t="s">
        <v>563</v>
      </c>
    </row>
    <row r="196" spans="1:18" ht="19.95" customHeight="1" x14ac:dyDescent="0.35">
      <c r="A196" s="232" t="s">
        <v>472</v>
      </c>
      <c r="B196" s="234" t="s">
        <v>98</v>
      </c>
      <c r="C196" s="239" t="s">
        <v>563</v>
      </c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72"/>
    </row>
    <row r="197" spans="1:18" s="170" customFormat="1" ht="19.95" customHeight="1" x14ac:dyDescent="0.35">
      <c r="A197" s="232" t="s">
        <v>475</v>
      </c>
      <c r="B197" s="233" t="s">
        <v>546</v>
      </c>
      <c r="C197" s="239" t="s">
        <v>563</v>
      </c>
    </row>
    <row r="198" spans="1:18" s="170" customFormat="1" ht="19.95" customHeight="1" x14ac:dyDescent="0.35">
      <c r="A198" s="232" t="s">
        <v>481</v>
      </c>
      <c r="B198" s="234" t="s">
        <v>149</v>
      </c>
      <c r="C198" s="239" t="s">
        <v>563</v>
      </c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</row>
  </sheetData>
  <autoFilter ref="A1:A198" xr:uid="{00000000-0009-0000-0000-000000000000}"/>
  <pageMargins left="0.7" right="0.7" top="0.75" bottom="0.75" header="0.3" footer="0.3"/>
  <pageSetup paperSize="9" scale="90" fitToHeight="0" orientation="landscape" r:id="rId1"/>
  <rowBreaks count="2" manualBreakCount="2">
    <brk id="78" max="11" man="1"/>
    <brk id="162" max="11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6CDB-462C-4272-87D9-7A4B6FA0E537}">
  <dimension ref="A2:B12"/>
  <sheetViews>
    <sheetView workbookViewId="0">
      <selection activeCell="D11" sqref="D11"/>
    </sheetView>
  </sheetViews>
  <sheetFormatPr defaultRowHeight="14.4" x14ac:dyDescent="0.3"/>
  <cols>
    <col min="2" max="2" width="27.33203125" customWidth="1"/>
  </cols>
  <sheetData>
    <row r="2" spans="1:2" ht="18" x14ac:dyDescent="0.3">
      <c r="A2" t="s">
        <v>549</v>
      </c>
      <c r="B2" s="230">
        <v>7179900</v>
      </c>
    </row>
    <row r="3" spans="1:2" ht="18" x14ac:dyDescent="0.3">
      <c r="A3" t="s">
        <v>547</v>
      </c>
      <c r="B3" s="230">
        <v>1648000</v>
      </c>
    </row>
    <row r="4" spans="1:2" x14ac:dyDescent="0.3">
      <c r="A4" t="s">
        <v>548</v>
      </c>
      <c r="B4" s="231">
        <v>1.5</v>
      </c>
    </row>
    <row r="5" spans="1:2" ht="18" x14ac:dyDescent="0.3">
      <c r="A5" t="s">
        <v>538</v>
      </c>
      <c r="B5" s="230">
        <f>+B2*B4</f>
        <v>10769850</v>
      </c>
    </row>
    <row r="6" spans="1:2" ht="18" x14ac:dyDescent="0.3">
      <c r="A6" t="s">
        <v>539</v>
      </c>
      <c r="B6" s="230">
        <f>+B2+B3+B5</f>
        <v>19597750</v>
      </c>
    </row>
    <row r="7" spans="1:2" ht="18" x14ac:dyDescent="0.3">
      <c r="A7">
        <v>-8.5</v>
      </c>
      <c r="B7" s="230">
        <f>+B6*91.5%</f>
        <v>17931941.25</v>
      </c>
    </row>
    <row r="9" spans="1:2" ht="18" x14ac:dyDescent="0.3">
      <c r="B9" s="230"/>
    </row>
    <row r="10" spans="1:2" ht="18" x14ac:dyDescent="0.3">
      <c r="B10" s="230"/>
    </row>
    <row r="11" spans="1:2" ht="18" x14ac:dyDescent="0.3">
      <c r="A11">
        <v>0.5</v>
      </c>
      <c r="B11" s="230">
        <f>+B7/2</f>
        <v>8965970.625</v>
      </c>
    </row>
    <row r="12" spans="1:2" ht="18" x14ac:dyDescent="0.3">
      <c r="B12" s="2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C22" sqref="C22"/>
    </sheetView>
  </sheetViews>
  <sheetFormatPr defaultRowHeight="14.4" x14ac:dyDescent="0.3"/>
  <cols>
    <col min="1" max="1" width="36" customWidth="1"/>
    <col min="3" max="3" width="64.6640625" bestFit="1" customWidth="1"/>
  </cols>
  <sheetData>
    <row r="1" spans="1:3" ht="18" x14ac:dyDescent="0.35">
      <c r="A1" s="187" t="s">
        <v>393</v>
      </c>
      <c r="B1" s="160">
        <v>1</v>
      </c>
      <c r="C1" s="226" t="s">
        <v>133</v>
      </c>
    </row>
    <row r="2" spans="1:3" ht="18" x14ac:dyDescent="0.35">
      <c r="A2" s="187" t="s">
        <v>15</v>
      </c>
      <c r="B2" s="160">
        <v>1</v>
      </c>
      <c r="C2" s="225" t="s">
        <v>164</v>
      </c>
    </row>
    <row r="3" spans="1:3" ht="18" x14ac:dyDescent="0.35">
      <c r="A3" s="187" t="s">
        <v>15</v>
      </c>
      <c r="B3" s="160">
        <v>1</v>
      </c>
      <c r="C3" s="225" t="s">
        <v>424</v>
      </c>
    </row>
    <row r="4" spans="1:3" ht="18" x14ac:dyDescent="0.35">
      <c r="A4" s="187" t="s">
        <v>120</v>
      </c>
      <c r="B4" s="160">
        <v>1</v>
      </c>
      <c r="C4" s="225" t="s">
        <v>121</v>
      </c>
    </row>
    <row r="5" spans="1:3" ht="18" x14ac:dyDescent="0.35">
      <c r="A5" s="187" t="s">
        <v>230</v>
      </c>
      <c r="B5" s="160">
        <v>1</v>
      </c>
      <c r="C5" s="229" t="s">
        <v>47</v>
      </c>
    </row>
    <row r="6" spans="1:3" ht="18" x14ac:dyDescent="0.35">
      <c r="A6" s="194" t="s">
        <v>315</v>
      </c>
      <c r="B6" s="165">
        <v>1</v>
      </c>
      <c r="C6" s="225" t="s">
        <v>25</v>
      </c>
    </row>
    <row r="7" spans="1:3" ht="18" x14ac:dyDescent="0.35">
      <c r="A7" s="187" t="s">
        <v>285</v>
      </c>
      <c r="B7" s="160">
        <v>1</v>
      </c>
      <c r="C7" s="227" t="s">
        <v>253</v>
      </c>
    </row>
    <row r="8" spans="1:3" ht="36" x14ac:dyDescent="0.35">
      <c r="A8" s="187" t="s">
        <v>286</v>
      </c>
      <c r="B8" s="160">
        <v>1</v>
      </c>
      <c r="C8" s="227" t="s">
        <v>57</v>
      </c>
    </row>
    <row r="9" spans="1:3" ht="18" x14ac:dyDescent="0.35">
      <c r="A9" s="187" t="s">
        <v>287</v>
      </c>
      <c r="B9" s="160">
        <v>1</v>
      </c>
      <c r="C9" s="225" t="s">
        <v>167</v>
      </c>
    </row>
    <row r="10" spans="1:3" ht="36" x14ac:dyDescent="0.35">
      <c r="A10" s="187" t="s">
        <v>288</v>
      </c>
      <c r="B10" s="160">
        <v>1</v>
      </c>
      <c r="C10" s="225" t="s">
        <v>177</v>
      </c>
    </row>
    <row r="11" spans="1:3" ht="18" x14ac:dyDescent="0.35">
      <c r="A11" s="187" t="s">
        <v>270</v>
      </c>
      <c r="B11" s="160">
        <v>1</v>
      </c>
      <c r="C11" s="228" t="s">
        <v>485</v>
      </c>
    </row>
    <row r="12" spans="1:3" ht="18" x14ac:dyDescent="0.35">
      <c r="A12" s="194" t="s">
        <v>354</v>
      </c>
      <c r="B12" s="165">
        <v>1</v>
      </c>
      <c r="C12" s="225" t="s">
        <v>56</v>
      </c>
    </row>
    <row r="13" spans="1:3" ht="18" x14ac:dyDescent="0.35">
      <c r="A13" s="187" t="s">
        <v>270</v>
      </c>
      <c r="B13" s="160">
        <v>1</v>
      </c>
      <c r="C13" s="225" t="s">
        <v>256</v>
      </c>
    </row>
    <row r="14" spans="1:3" ht="18" x14ac:dyDescent="0.35">
      <c r="A14" s="187" t="s">
        <v>15</v>
      </c>
      <c r="B14" s="160">
        <v>1</v>
      </c>
      <c r="C14" s="225" t="s">
        <v>175</v>
      </c>
    </row>
    <row r="15" spans="1:3" ht="18" x14ac:dyDescent="0.35">
      <c r="A15" s="187" t="s">
        <v>15</v>
      </c>
      <c r="B15" s="160">
        <v>1</v>
      </c>
      <c r="C15" s="225" t="s">
        <v>169</v>
      </c>
    </row>
    <row r="16" spans="1:3" ht="18" x14ac:dyDescent="0.35">
      <c r="A16" s="198" t="s">
        <v>355</v>
      </c>
      <c r="B16" s="165">
        <v>1</v>
      </c>
      <c r="C16" s="228" t="s">
        <v>498</v>
      </c>
    </row>
    <row r="17" spans="1:3" ht="18" x14ac:dyDescent="0.35">
      <c r="A17" s="187" t="s">
        <v>270</v>
      </c>
      <c r="B17" s="160">
        <v>1</v>
      </c>
      <c r="C17" s="225" t="s">
        <v>130</v>
      </c>
    </row>
    <row r="18" spans="1:3" ht="18" x14ac:dyDescent="0.35">
      <c r="A18" s="187" t="s">
        <v>270</v>
      </c>
      <c r="B18" s="160">
        <v>1</v>
      </c>
      <c r="C18" s="228" t="s">
        <v>35</v>
      </c>
    </row>
    <row r="19" spans="1:3" ht="18" x14ac:dyDescent="0.35">
      <c r="A19" s="187" t="s">
        <v>15</v>
      </c>
      <c r="B19" s="160">
        <v>1</v>
      </c>
      <c r="C19" s="225" t="s">
        <v>17</v>
      </c>
    </row>
    <row r="20" spans="1:3" ht="18" x14ac:dyDescent="0.35">
      <c r="A20" s="187" t="s">
        <v>15</v>
      </c>
      <c r="B20" s="160">
        <v>1</v>
      </c>
      <c r="C20" s="225" t="s">
        <v>110</v>
      </c>
    </row>
    <row r="21" spans="1:3" ht="18" x14ac:dyDescent="0.35">
      <c r="A21" s="187" t="s">
        <v>15</v>
      </c>
      <c r="B21" s="160">
        <v>1</v>
      </c>
      <c r="C21" s="225" t="s">
        <v>109</v>
      </c>
    </row>
    <row r="22" spans="1:3" ht="18" x14ac:dyDescent="0.35">
      <c r="A22" s="187" t="s">
        <v>15</v>
      </c>
      <c r="B22" s="160">
        <v>1</v>
      </c>
      <c r="C22" s="225" t="s">
        <v>118</v>
      </c>
    </row>
    <row r="23" spans="1:3" ht="18" x14ac:dyDescent="0.35">
      <c r="A23" s="187" t="s">
        <v>15</v>
      </c>
      <c r="B23" s="160">
        <v>1</v>
      </c>
      <c r="C23" s="225" t="s">
        <v>64</v>
      </c>
    </row>
    <row r="24" spans="1:3" ht="18" x14ac:dyDescent="0.35">
      <c r="A24" s="194" t="s">
        <v>214</v>
      </c>
      <c r="B24" s="165">
        <v>1</v>
      </c>
      <c r="C24" s="225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268"/>
  <sheetViews>
    <sheetView view="pageBreakPreview" topLeftCell="A138" zoomScaleNormal="60" zoomScaleSheetLayoutView="100" zoomScalePageLayoutView="70" workbookViewId="0">
      <selection activeCell="A70" sqref="A70"/>
    </sheetView>
  </sheetViews>
  <sheetFormatPr defaultColWidth="9.109375" defaultRowHeight="18" x14ac:dyDescent="0.35"/>
  <cols>
    <col min="1" max="1" width="92.44140625" style="155" customWidth="1"/>
    <col min="2" max="2" width="21.5546875" style="157" customWidth="1"/>
    <col min="3" max="3" width="33.44140625" style="157" hidden="1" customWidth="1"/>
    <col min="4" max="4" width="29.6640625" style="173" customWidth="1"/>
    <col min="5" max="5" width="19" style="156" customWidth="1"/>
    <col min="6" max="6" width="71.109375" style="155" hidden="1" customWidth="1"/>
    <col min="7" max="7" width="72.33203125" style="155" customWidth="1"/>
    <col min="8" max="11" width="9.109375" style="155" customWidth="1"/>
    <col min="12" max="12" width="9.109375" style="155" hidden="1" customWidth="1"/>
    <col min="13" max="13" width="19.6640625" style="155" hidden="1" customWidth="1"/>
    <col min="14" max="14" width="9.109375" style="155" hidden="1" customWidth="1"/>
    <col min="15" max="15" width="19.6640625" style="155" hidden="1" customWidth="1"/>
    <col min="16" max="16" width="4.88671875" style="155" hidden="1" customWidth="1"/>
    <col min="17" max="17" width="23.33203125" style="155" hidden="1" customWidth="1"/>
    <col min="18" max="18" width="4.88671875" style="155" hidden="1" customWidth="1"/>
    <col min="19" max="19" width="23.33203125" style="155" hidden="1" customWidth="1"/>
    <col min="20" max="20" width="4.88671875" style="155" hidden="1" customWidth="1"/>
    <col min="21" max="21" width="23.33203125" style="155" hidden="1" customWidth="1"/>
    <col min="22" max="22" width="4.88671875" style="156" hidden="1" customWidth="1"/>
    <col min="23" max="23" width="23.33203125" style="156" hidden="1" customWidth="1"/>
    <col min="24" max="24" width="4.88671875" style="156" hidden="1" customWidth="1"/>
    <col min="25" max="25" width="23.33203125" style="156" hidden="1" customWidth="1"/>
    <col min="26" max="26" width="4.88671875" style="156" hidden="1" customWidth="1"/>
    <col min="27" max="27" width="21.5546875" style="156" hidden="1" customWidth="1"/>
    <col min="28" max="28" width="4.88671875" style="156" hidden="1" customWidth="1"/>
    <col min="29" max="29" width="23.33203125" style="156" hidden="1" customWidth="1"/>
    <col min="30" max="30" width="3.33203125" style="156" hidden="1" customWidth="1"/>
    <col min="31" max="31" width="21.5546875" style="156" hidden="1" customWidth="1"/>
    <col min="32" max="32" width="9.109375" style="156" hidden="1" customWidth="1"/>
    <col min="33" max="33" width="19.6640625" style="156" hidden="1" customWidth="1"/>
    <col min="34" max="35" width="9.109375" style="156" hidden="1" customWidth="1"/>
    <col min="36" max="36" width="24.88671875" style="156" hidden="1" customWidth="1"/>
    <col min="37" max="16384" width="9.109375" style="155"/>
  </cols>
  <sheetData>
    <row r="1" spans="1:36" ht="56.25" customHeight="1" thickBot="1" x14ac:dyDescent="0.4">
      <c r="A1" s="251" t="s">
        <v>261</v>
      </c>
      <c r="B1" s="251"/>
      <c r="C1" s="251"/>
      <c r="D1" s="251"/>
      <c r="E1" s="251"/>
      <c r="F1" s="251"/>
      <c r="G1" s="158"/>
    </row>
    <row r="2" spans="1:36" x14ac:dyDescent="0.35">
      <c r="A2" s="252" t="s">
        <v>247</v>
      </c>
      <c r="B2" s="253"/>
      <c r="C2" s="253"/>
      <c r="D2" s="253"/>
      <c r="E2" s="253"/>
      <c r="F2" s="180"/>
      <c r="G2" s="181"/>
    </row>
    <row r="3" spans="1:36" x14ac:dyDescent="0.35">
      <c r="A3" s="182"/>
      <c r="B3" s="175"/>
      <c r="C3" s="175"/>
      <c r="D3" s="176" t="s">
        <v>391</v>
      </c>
      <c r="E3" s="163"/>
      <c r="F3" s="164"/>
      <c r="G3" s="183"/>
    </row>
    <row r="4" spans="1:36" ht="101.25" customHeight="1" x14ac:dyDescent="0.35">
      <c r="A4" s="184" t="s">
        <v>265</v>
      </c>
      <c r="B4" s="177" t="s">
        <v>262</v>
      </c>
      <c r="C4" s="177" t="s">
        <v>337</v>
      </c>
      <c r="D4" s="178" t="s">
        <v>338</v>
      </c>
      <c r="E4" s="167" t="s">
        <v>0</v>
      </c>
      <c r="F4" s="167" t="s">
        <v>340</v>
      </c>
      <c r="G4" s="185" t="s">
        <v>340</v>
      </c>
    </row>
    <row r="5" spans="1:36" x14ac:dyDescent="0.35">
      <c r="A5" s="182">
        <v>1</v>
      </c>
      <c r="B5" s="165">
        <v>2</v>
      </c>
      <c r="C5" s="165"/>
      <c r="D5" s="165">
        <v>4</v>
      </c>
      <c r="E5" s="167">
        <v>3</v>
      </c>
      <c r="F5" s="163"/>
      <c r="G5" s="185"/>
    </row>
    <row r="6" spans="1:36" x14ac:dyDescent="0.35">
      <c r="A6" s="186" t="s">
        <v>327</v>
      </c>
      <c r="B6" s="160"/>
      <c r="C6" s="160"/>
      <c r="D6" s="162"/>
      <c r="E6" s="163"/>
      <c r="F6" s="164"/>
      <c r="G6" s="183"/>
      <c r="Q6" s="159"/>
    </row>
    <row r="7" spans="1:36" x14ac:dyDescent="0.35">
      <c r="A7" s="187" t="s">
        <v>2</v>
      </c>
      <c r="B7" s="160">
        <v>1</v>
      </c>
      <c r="C7" s="161">
        <f>+Лист4!C16</f>
        <v>9369400</v>
      </c>
      <c r="D7" s="162">
        <f>+Лист4!C16</f>
        <v>9369400</v>
      </c>
      <c r="E7" s="163">
        <v>16</v>
      </c>
      <c r="F7" s="164" t="s">
        <v>341</v>
      </c>
      <c r="G7" s="192" t="s">
        <v>425</v>
      </c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</row>
    <row r="8" spans="1:36" x14ac:dyDescent="0.35">
      <c r="A8" s="187" t="s">
        <v>3</v>
      </c>
      <c r="B8" s="160">
        <v>1</v>
      </c>
      <c r="C8" s="161">
        <f>+Лист4!C14</f>
        <v>8873900</v>
      </c>
      <c r="D8" s="162">
        <f>+Лист4!C14</f>
        <v>8873900</v>
      </c>
      <c r="E8" s="163">
        <v>15</v>
      </c>
      <c r="F8" s="164" t="s">
        <v>16</v>
      </c>
      <c r="G8" s="192" t="s">
        <v>16</v>
      </c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</row>
    <row r="9" spans="1:36" x14ac:dyDescent="0.35">
      <c r="A9" s="187" t="s">
        <v>4</v>
      </c>
      <c r="B9" s="160">
        <v>1</v>
      </c>
      <c r="C9" s="161">
        <f>+Лист4!$C$15</f>
        <v>8430300</v>
      </c>
      <c r="D9" s="162">
        <f>+Лист4!C15</f>
        <v>8430300</v>
      </c>
      <c r="E9" s="163">
        <v>15</v>
      </c>
      <c r="F9" s="164" t="s">
        <v>342</v>
      </c>
      <c r="G9" s="192" t="s">
        <v>342</v>
      </c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</row>
    <row r="10" spans="1:36" x14ac:dyDescent="0.35">
      <c r="A10" s="186" t="s">
        <v>5</v>
      </c>
      <c r="B10" s="165">
        <f>SUM(B7:B9)</f>
        <v>3</v>
      </c>
      <c r="C10" s="165"/>
      <c r="D10" s="166">
        <f>SUM(D7:D9)</f>
        <v>26673600</v>
      </c>
      <c r="E10" s="167"/>
      <c r="F10" s="164"/>
      <c r="G10" s="183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</row>
    <row r="11" spans="1:36" x14ac:dyDescent="0.35">
      <c r="A11" s="186" t="s">
        <v>353</v>
      </c>
      <c r="B11" s="165"/>
      <c r="C11" s="165"/>
      <c r="D11" s="162"/>
      <c r="E11" s="163"/>
      <c r="F11" s="164"/>
      <c r="G11" s="183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</row>
    <row r="12" spans="1:36" x14ac:dyDescent="0.35">
      <c r="A12" s="187" t="s">
        <v>393</v>
      </c>
      <c r="B12" s="160">
        <v>1</v>
      </c>
      <c r="C12" s="161">
        <f>+Лист4!$C$11</f>
        <v>7914100</v>
      </c>
      <c r="D12" s="162">
        <f>+B12*Лист4!$C$11</f>
        <v>7914100</v>
      </c>
      <c r="E12" s="163">
        <v>13</v>
      </c>
      <c r="F12" s="164" t="s">
        <v>133</v>
      </c>
      <c r="G12" s="208" t="s">
        <v>133</v>
      </c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</row>
    <row r="13" spans="1:36" x14ac:dyDescent="0.35">
      <c r="A13" s="187" t="s">
        <v>394</v>
      </c>
      <c r="B13" s="160">
        <v>1</v>
      </c>
      <c r="C13" s="161">
        <f>+Лист4!$C$11</f>
        <v>7914100</v>
      </c>
      <c r="D13" s="162">
        <f>+B13*Лист4!$C$11</f>
        <v>7914100</v>
      </c>
      <c r="E13" s="163">
        <v>13</v>
      </c>
      <c r="F13" s="164" t="s">
        <v>10</v>
      </c>
      <c r="G13" s="208" t="s">
        <v>435</v>
      </c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</row>
    <row r="14" spans="1:36" x14ac:dyDescent="0.35">
      <c r="A14" s="187" t="s">
        <v>23</v>
      </c>
      <c r="B14" s="160">
        <v>1</v>
      </c>
      <c r="C14" s="161">
        <f>+Лист4!$C$10</f>
        <v>7442800</v>
      </c>
      <c r="D14" s="162">
        <f>+B14*Лист4!$C$10</f>
        <v>7442800</v>
      </c>
      <c r="E14" s="163">
        <v>12</v>
      </c>
      <c r="F14" s="164" t="s">
        <v>11</v>
      </c>
      <c r="G14" s="192" t="s">
        <v>11</v>
      </c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</row>
    <row r="15" spans="1:36" x14ac:dyDescent="0.35">
      <c r="A15" s="187" t="s">
        <v>23</v>
      </c>
      <c r="B15" s="160">
        <v>1</v>
      </c>
      <c r="C15" s="161">
        <f>+Лист4!$C$10</f>
        <v>7442800</v>
      </c>
      <c r="D15" s="162">
        <f>+B15*Лист4!$C$10</f>
        <v>7442800</v>
      </c>
      <c r="E15" s="163">
        <v>12</v>
      </c>
      <c r="F15" s="164" t="s">
        <v>12</v>
      </c>
      <c r="G15" s="192" t="s">
        <v>12</v>
      </c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</row>
    <row r="16" spans="1:36" x14ac:dyDescent="0.35">
      <c r="A16" s="186" t="s">
        <v>5</v>
      </c>
      <c r="B16" s="165">
        <f>SUM(B12:B15)</f>
        <v>4</v>
      </c>
      <c r="C16" s="165"/>
      <c r="D16" s="166">
        <f>SUM(D12:D15)</f>
        <v>30713800</v>
      </c>
      <c r="E16" s="167"/>
      <c r="F16" s="164"/>
      <c r="G16" s="183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</row>
    <row r="17" spans="1:36" x14ac:dyDescent="0.35">
      <c r="A17" s="186" t="s">
        <v>358</v>
      </c>
      <c r="B17" s="165"/>
      <c r="C17" s="165"/>
      <c r="D17" s="166"/>
      <c r="E17" s="165"/>
      <c r="F17" s="164"/>
      <c r="G17" s="183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</row>
    <row r="18" spans="1:36" x14ac:dyDescent="0.35">
      <c r="A18" s="187" t="s">
        <v>15</v>
      </c>
      <c r="B18" s="160">
        <v>1</v>
      </c>
      <c r="C18" s="161">
        <f>+Лист4!$C$11</f>
        <v>7914100</v>
      </c>
      <c r="D18" s="162">
        <f>+B18*Лист4!$C$11</f>
        <v>7914100</v>
      </c>
      <c r="E18" s="163">
        <v>13</v>
      </c>
      <c r="F18" s="164" t="s">
        <v>116</v>
      </c>
      <c r="G18" s="188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</row>
    <row r="19" spans="1:36" x14ac:dyDescent="0.35">
      <c r="A19" s="187" t="s">
        <v>52</v>
      </c>
      <c r="B19" s="160">
        <v>1</v>
      </c>
      <c r="C19" s="161">
        <f>+Лист4!$C$9</f>
        <v>6978500</v>
      </c>
      <c r="D19" s="162">
        <f>+B19*Лист4!$C$9</f>
        <v>6978500</v>
      </c>
      <c r="E19" s="163">
        <v>11</v>
      </c>
      <c r="F19" s="164" t="s">
        <v>117</v>
      </c>
      <c r="G19" s="189" t="s">
        <v>432</v>
      </c>
    </row>
    <row r="20" spans="1:36" x14ac:dyDescent="0.35">
      <c r="A20" s="187" t="s">
        <v>131</v>
      </c>
      <c r="B20" s="160">
        <v>1</v>
      </c>
      <c r="C20" s="161">
        <f>+Лист4!$C$8</f>
        <v>6524600</v>
      </c>
      <c r="D20" s="162">
        <f>+B20*Лист4!$C$8</f>
        <v>6524600</v>
      </c>
      <c r="E20" s="163">
        <v>10</v>
      </c>
      <c r="F20" s="164" t="s">
        <v>115</v>
      </c>
      <c r="G20" s="189" t="s">
        <v>117</v>
      </c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</row>
    <row r="21" spans="1:36" x14ac:dyDescent="0.35">
      <c r="A21" s="187" t="s">
        <v>395</v>
      </c>
      <c r="B21" s="160">
        <v>1</v>
      </c>
      <c r="C21" s="161">
        <f>+Лист4!$C$9</f>
        <v>6978500</v>
      </c>
      <c r="D21" s="162">
        <f>+B21*Лист4!$C$9</f>
        <v>6978500</v>
      </c>
      <c r="E21" s="163">
        <v>11</v>
      </c>
      <c r="F21" s="164" t="s">
        <v>9</v>
      </c>
      <c r="G21" s="188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</row>
    <row r="22" spans="1:36" ht="35.25" customHeight="1" x14ac:dyDescent="0.35">
      <c r="A22" s="187" t="s">
        <v>396</v>
      </c>
      <c r="B22" s="160">
        <v>1</v>
      </c>
      <c r="C22" s="161">
        <f>+Лист4!$C$9</f>
        <v>6978500</v>
      </c>
      <c r="D22" s="162">
        <f>+B22*Лист4!$C$9</f>
        <v>6978500</v>
      </c>
      <c r="E22" s="163">
        <v>11</v>
      </c>
      <c r="F22" s="164" t="s">
        <v>9</v>
      </c>
      <c r="G22" s="188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</row>
    <row r="23" spans="1:36" x14ac:dyDescent="0.35">
      <c r="A23" s="186" t="s">
        <v>5</v>
      </c>
      <c r="B23" s="165">
        <f>SUM(B18:B22)</f>
        <v>5</v>
      </c>
      <c r="C23" s="165"/>
      <c r="D23" s="166">
        <f>SUM(D18:D22)</f>
        <v>35374200</v>
      </c>
      <c r="E23" s="165"/>
      <c r="F23" s="164"/>
      <c r="G23" s="183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</row>
    <row r="24" spans="1:36" x14ac:dyDescent="0.35">
      <c r="A24" s="186" t="s">
        <v>359</v>
      </c>
      <c r="B24" s="165"/>
      <c r="C24" s="165"/>
      <c r="D24" s="166"/>
      <c r="E24" s="165"/>
      <c r="F24" s="164"/>
      <c r="G24" s="183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</row>
    <row r="25" spans="1:36" ht="24" customHeight="1" x14ac:dyDescent="0.35">
      <c r="A25" s="187" t="s">
        <v>15</v>
      </c>
      <c r="B25" s="160">
        <v>1</v>
      </c>
      <c r="C25" s="161">
        <f>+Лист4!$C$11</f>
        <v>7914100</v>
      </c>
      <c r="D25" s="162">
        <f>+B25*Лист4!$C$11</f>
        <v>7914100</v>
      </c>
      <c r="E25" s="163">
        <v>13</v>
      </c>
      <c r="F25" s="164" t="s">
        <v>164</v>
      </c>
      <c r="G25" s="192" t="s">
        <v>164</v>
      </c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</row>
    <row r="26" spans="1:36" x14ac:dyDescent="0.35">
      <c r="A26" s="187" t="s">
        <v>197</v>
      </c>
      <c r="B26" s="160">
        <v>1</v>
      </c>
      <c r="C26" s="161">
        <f>+Лист4!$C$7</f>
        <v>6081100</v>
      </c>
      <c r="D26" s="162">
        <f>+B26*Лист4!$C$7</f>
        <v>6081100</v>
      </c>
      <c r="E26" s="163">
        <v>9</v>
      </c>
      <c r="F26" s="164" t="s">
        <v>171</v>
      </c>
      <c r="G26" s="192" t="s">
        <v>171</v>
      </c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</row>
    <row r="27" spans="1:36" x14ac:dyDescent="0.35">
      <c r="A27" s="186" t="s">
        <v>5</v>
      </c>
      <c r="B27" s="165">
        <f>SUM(B25:B26)</f>
        <v>2</v>
      </c>
      <c r="C27" s="165"/>
      <c r="D27" s="166">
        <f>SUM(D25:D26)</f>
        <v>13995200</v>
      </c>
      <c r="E27" s="165"/>
      <c r="F27" s="164"/>
      <c r="G27" s="183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</row>
    <row r="28" spans="1:36" x14ac:dyDescent="0.35">
      <c r="A28" s="190" t="s">
        <v>360</v>
      </c>
      <c r="B28" s="165"/>
      <c r="C28" s="165"/>
      <c r="D28" s="166"/>
      <c r="E28" s="167"/>
      <c r="F28" s="164"/>
      <c r="G28" s="183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</row>
    <row r="29" spans="1:36" x14ac:dyDescent="0.35">
      <c r="A29" s="187" t="s">
        <v>15</v>
      </c>
      <c r="B29" s="160">
        <v>1</v>
      </c>
      <c r="C29" s="161">
        <f>+Лист4!$C$11</f>
        <v>7914100</v>
      </c>
      <c r="D29" s="162">
        <f>+B29*Лист4!$C$11</f>
        <v>7914100</v>
      </c>
      <c r="E29" s="163">
        <v>13</v>
      </c>
      <c r="F29" s="164" t="s">
        <v>8</v>
      </c>
      <c r="G29" s="208" t="s">
        <v>424</v>
      </c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</row>
    <row r="30" spans="1:36" x14ac:dyDescent="0.35">
      <c r="A30" s="187" t="s">
        <v>23</v>
      </c>
      <c r="B30" s="160">
        <v>1</v>
      </c>
      <c r="C30" s="161">
        <f>+Лист4!$C$10</f>
        <v>7442800</v>
      </c>
      <c r="D30" s="162">
        <f>+B30*Лист4!$C$10</f>
        <v>7442800</v>
      </c>
      <c r="E30" s="163">
        <v>12</v>
      </c>
      <c r="F30" s="164" t="s">
        <v>9</v>
      </c>
      <c r="G30" s="183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</row>
    <row r="31" spans="1:36" x14ac:dyDescent="0.35">
      <c r="A31" s="186" t="s">
        <v>5</v>
      </c>
      <c r="B31" s="165">
        <f>SUM(B29:B30)</f>
        <v>2</v>
      </c>
      <c r="C31" s="165"/>
      <c r="D31" s="166">
        <f>SUM(D29:D30)</f>
        <v>15356900</v>
      </c>
      <c r="E31" s="167"/>
      <c r="F31" s="164"/>
      <c r="G31" s="183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</row>
    <row r="32" spans="1:36" ht="33.75" customHeight="1" x14ac:dyDescent="0.35">
      <c r="A32" s="194" t="s">
        <v>361</v>
      </c>
      <c r="B32" s="165">
        <v>1</v>
      </c>
      <c r="C32" s="168">
        <f>+Лист4!$C$11</f>
        <v>7914100</v>
      </c>
      <c r="D32" s="166">
        <f>+B32*Лист4!$C$11</f>
        <v>7914100</v>
      </c>
      <c r="E32" s="163">
        <v>13</v>
      </c>
      <c r="F32" s="164"/>
      <c r="G32" s="183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</row>
    <row r="33" spans="1:36" ht="33.75" customHeight="1" x14ac:dyDescent="0.35">
      <c r="A33" s="194" t="s">
        <v>362</v>
      </c>
      <c r="B33" s="165">
        <v>1</v>
      </c>
      <c r="C33" s="168">
        <f>+Лист4!$C$9</f>
        <v>6978500</v>
      </c>
      <c r="D33" s="166">
        <f>+B33*Лист4!$C$9</f>
        <v>6978500</v>
      </c>
      <c r="E33" s="163">
        <v>11</v>
      </c>
      <c r="F33" s="164" t="s">
        <v>343</v>
      </c>
      <c r="G33" s="209" t="s">
        <v>343</v>
      </c>
    </row>
    <row r="34" spans="1:36" ht="33.75" customHeight="1" x14ac:dyDescent="0.35">
      <c r="A34" s="194" t="s">
        <v>363</v>
      </c>
      <c r="B34" s="165">
        <v>1</v>
      </c>
      <c r="C34" s="168">
        <f>+Лист4!$C$9</f>
        <v>6978500</v>
      </c>
      <c r="D34" s="166">
        <f>+B34*Лист4!$C$9</f>
        <v>6978500</v>
      </c>
      <c r="E34" s="163">
        <v>11</v>
      </c>
      <c r="F34" s="164" t="s">
        <v>181</v>
      </c>
      <c r="G34" s="183"/>
    </row>
    <row r="35" spans="1:36" ht="23.25" customHeight="1" x14ac:dyDescent="0.35">
      <c r="A35" s="186" t="s">
        <v>364</v>
      </c>
      <c r="B35" s="165"/>
      <c r="C35" s="165"/>
      <c r="D35" s="166"/>
      <c r="E35" s="165"/>
      <c r="F35" s="164"/>
      <c r="G35" s="183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</row>
    <row r="36" spans="1:36" ht="24" customHeight="1" x14ac:dyDescent="0.35">
      <c r="A36" s="187" t="s">
        <v>120</v>
      </c>
      <c r="B36" s="160">
        <v>1</v>
      </c>
      <c r="C36" s="161">
        <f>+Лист4!$C$11</f>
        <v>7914100</v>
      </c>
      <c r="D36" s="162">
        <f>+B36*Лист4!$C$11</f>
        <v>7914100</v>
      </c>
      <c r="E36" s="163">
        <v>13</v>
      </c>
      <c r="F36" s="164" t="s">
        <v>121</v>
      </c>
      <c r="G36" s="209" t="s">
        <v>121</v>
      </c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</row>
    <row r="37" spans="1:36" x14ac:dyDescent="0.35">
      <c r="A37" s="187" t="s">
        <v>13</v>
      </c>
      <c r="B37" s="160">
        <v>1</v>
      </c>
      <c r="C37" s="161">
        <f>+Лист4!C5</f>
        <v>5214800</v>
      </c>
      <c r="D37" s="162">
        <f>+Лист4!C22</f>
        <v>3476600</v>
      </c>
      <c r="E37" s="163">
        <v>7</v>
      </c>
      <c r="F37" s="164" t="s">
        <v>14</v>
      </c>
      <c r="G37" s="208" t="s">
        <v>14</v>
      </c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</row>
    <row r="38" spans="1:36" ht="24" customHeight="1" x14ac:dyDescent="0.35">
      <c r="A38" s="187" t="s">
        <v>239</v>
      </c>
      <c r="B38" s="160">
        <v>1</v>
      </c>
      <c r="C38" s="161">
        <f>+Лист4!C21*1.5</f>
        <v>3465000</v>
      </c>
      <c r="D38" s="162">
        <f>+B39*Лист4!C21*1.5</f>
        <v>3465000</v>
      </c>
      <c r="E38" s="163">
        <v>1</v>
      </c>
      <c r="F38" s="164" t="s">
        <v>345</v>
      </c>
      <c r="G38" s="183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</row>
    <row r="39" spans="1:36" ht="24" customHeight="1" x14ac:dyDescent="0.35">
      <c r="A39" s="187" t="s">
        <v>239</v>
      </c>
      <c r="B39" s="160">
        <v>1</v>
      </c>
      <c r="C39" s="161">
        <f>+Лист4!C21*1.5</f>
        <v>3465000</v>
      </c>
      <c r="D39" s="162">
        <f>+B39*Лист4!C21*1.5</f>
        <v>3465000</v>
      </c>
      <c r="E39" s="163">
        <v>1</v>
      </c>
      <c r="F39" s="164" t="s">
        <v>344</v>
      </c>
      <c r="G39" s="183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</row>
    <row r="40" spans="1:36" x14ac:dyDescent="0.35">
      <c r="A40" s="186" t="s">
        <v>5</v>
      </c>
      <c r="B40" s="165">
        <f>SUM(B36:B39)</f>
        <v>4</v>
      </c>
      <c r="C40" s="165"/>
      <c r="D40" s="166">
        <f>SUM(D36:D39)</f>
        <v>18320700</v>
      </c>
      <c r="E40" s="165"/>
      <c r="F40" s="164"/>
      <c r="G40" s="183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</row>
    <row r="41" spans="1:36" x14ac:dyDescent="0.35">
      <c r="A41" s="186" t="s">
        <v>365</v>
      </c>
      <c r="B41" s="165"/>
      <c r="C41" s="165"/>
      <c r="D41" s="166"/>
      <c r="E41" s="165"/>
      <c r="F41" s="164"/>
      <c r="G41" s="183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</row>
    <row r="42" spans="1:36" ht="24" customHeight="1" x14ac:dyDescent="0.35">
      <c r="A42" s="187" t="s">
        <v>230</v>
      </c>
      <c r="B42" s="160">
        <v>1</v>
      </c>
      <c r="C42" s="161">
        <f>+Лист4!$C$11</f>
        <v>7914100</v>
      </c>
      <c r="D42" s="162">
        <f>+B42*Лист4!$C$11</f>
        <v>7914100</v>
      </c>
      <c r="E42" s="163">
        <v>13</v>
      </c>
      <c r="F42" s="164" t="s">
        <v>47</v>
      </c>
      <c r="G42" s="191" t="s">
        <v>47</v>
      </c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</row>
    <row r="43" spans="1:36" x14ac:dyDescent="0.35">
      <c r="A43" s="187" t="s">
        <v>131</v>
      </c>
      <c r="B43" s="160">
        <v>1</v>
      </c>
      <c r="C43" s="161">
        <f>+Лист4!$C$8</f>
        <v>6524600</v>
      </c>
      <c r="D43" s="162">
        <f>+B43*Лист4!$C$8</f>
        <v>6524600</v>
      </c>
      <c r="E43" s="163">
        <v>10</v>
      </c>
      <c r="F43" s="164" t="s">
        <v>257</v>
      </c>
      <c r="G43" s="210" t="s">
        <v>426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</row>
    <row r="44" spans="1:36" x14ac:dyDescent="0.35">
      <c r="A44" s="187" t="s">
        <v>131</v>
      </c>
      <c r="B44" s="160">
        <v>1</v>
      </c>
      <c r="C44" s="161">
        <f>+Лист4!$C$8</f>
        <v>6524600</v>
      </c>
      <c r="D44" s="162">
        <f>+B44*Лист4!$C$8</f>
        <v>6524600</v>
      </c>
      <c r="E44" s="163">
        <v>10</v>
      </c>
      <c r="F44" s="164" t="s">
        <v>26</v>
      </c>
      <c r="G44" s="189" t="s">
        <v>26</v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</row>
    <row r="45" spans="1:36" x14ac:dyDescent="0.35">
      <c r="A45" s="186" t="s">
        <v>5</v>
      </c>
      <c r="B45" s="165">
        <f>SUM(B42:B44)</f>
        <v>3</v>
      </c>
      <c r="C45" s="165"/>
      <c r="D45" s="166">
        <f>SUM(D42:D44)</f>
        <v>20963300</v>
      </c>
      <c r="E45" s="165"/>
      <c r="F45" s="164"/>
      <c r="G45" s="183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</row>
    <row r="46" spans="1:36" x14ac:dyDescent="0.35">
      <c r="A46" s="193" t="s">
        <v>366</v>
      </c>
      <c r="B46" s="165"/>
      <c r="C46" s="165"/>
      <c r="D46" s="179"/>
      <c r="E46" s="167"/>
      <c r="F46" s="164"/>
      <c r="G46" s="183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</row>
    <row r="47" spans="1:36" x14ac:dyDescent="0.35">
      <c r="A47" s="194" t="s">
        <v>315</v>
      </c>
      <c r="B47" s="165">
        <v>1</v>
      </c>
      <c r="C47" s="161">
        <f>+Лист4!$C$15</f>
        <v>8430300</v>
      </c>
      <c r="D47" s="166">
        <f>+Лист4!C15</f>
        <v>8430300</v>
      </c>
      <c r="E47" s="163">
        <v>15</v>
      </c>
      <c r="F47" s="164"/>
      <c r="G47" s="208" t="s">
        <v>25</v>
      </c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</row>
    <row r="48" spans="1:36" x14ac:dyDescent="0.35">
      <c r="A48" s="195" t="s">
        <v>414</v>
      </c>
      <c r="B48" s="160"/>
      <c r="C48" s="160"/>
      <c r="D48" s="162"/>
      <c r="E48" s="163"/>
      <c r="F48" s="164"/>
      <c r="G48" s="183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</row>
    <row r="49" spans="1:36" x14ac:dyDescent="0.35">
      <c r="A49" s="187" t="s">
        <v>285</v>
      </c>
      <c r="B49" s="160">
        <v>1</v>
      </c>
      <c r="C49" s="161">
        <f>+Лист4!$C$13</f>
        <v>8388800</v>
      </c>
      <c r="D49" s="162">
        <f>+B49*Лист4!$C$13</f>
        <v>8388800</v>
      </c>
      <c r="E49" s="163">
        <v>14</v>
      </c>
      <c r="F49" s="164"/>
      <c r="G49" s="189" t="s">
        <v>253</v>
      </c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</row>
    <row r="50" spans="1:36" x14ac:dyDescent="0.35">
      <c r="A50" s="187" t="s">
        <v>286</v>
      </c>
      <c r="B50" s="160">
        <v>1</v>
      </c>
      <c r="C50" s="161">
        <f>+Лист4!$C$11</f>
        <v>7914100</v>
      </c>
      <c r="D50" s="162">
        <f>+B50*Лист4!$C$11</f>
        <v>7914100</v>
      </c>
      <c r="E50" s="163">
        <v>13</v>
      </c>
      <c r="F50" s="164"/>
      <c r="G50" s="189" t="s">
        <v>57</v>
      </c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</row>
    <row r="51" spans="1:36" x14ac:dyDescent="0.35">
      <c r="A51" s="187" t="s">
        <v>316</v>
      </c>
      <c r="B51" s="160">
        <v>1</v>
      </c>
      <c r="C51" s="161">
        <f>+Лист4!$C$10</f>
        <v>7442800</v>
      </c>
      <c r="D51" s="162">
        <f>+B51*Лист4!$C$10</f>
        <v>7442800</v>
      </c>
      <c r="E51" s="163">
        <v>12</v>
      </c>
      <c r="F51" s="164"/>
      <c r="G51" s="189" t="s">
        <v>182</v>
      </c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</row>
    <row r="52" spans="1:36" x14ac:dyDescent="0.35">
      <c r="A52" s="187" t="s">
        <v>316</v>
      </c>
      <c r="B52" s="160">
        <v>1</v>
      </c>
      <c r="C52" s="161">
        <f>+Лист4!$C$10</f>
        <v>7442800</v>
      </c>
      <c r="D52" s="162">
        <f>+B52*Лист4!$C$10</f>
        <v>7442800</v>
      </c>
      <c r="E52" s="163">
        <v>12</v>
      </c>
      <c r="F52" s="164"/>
      <c r="G52" s="189" t="s">
        <v>250</v>
      </c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</row>
    <row r="53" spans="1:36" x14ac:dyDescent="0.35">
      <c r="A53" s="187" t="s">
        <v>316</v>
      </c>
      <c r="B53" s="160">
        <v>1</v>
      </c>
      <c r="C53" s="161">
        <f>+Лист4!$C$10</f>
        <v>7442800</v>
      </c>
      <c r="D53" s="162">
        <f>+B53*Лист4!$C$10</f>
        <v>7442800</v>
      </c>
      <c r="E53" s="163">
        <v>12</v>
      </c>
      <c r="F53" s="164"/>
      <c r="G53" s="189" t="s">
        <v>183</v>
      </c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pans="1:36" x14ac:dyDescent="0.35">
      <c r="A54" s="187" t="s">
        <v>316</v>
      </c>
      <c r="B54" s="160">
        <v>1</v>
      </c>
      <c r="C54" s="161">
        <f>+Лист4!$C$10</f>
        <v>7442800</v>
      </c>
      <c r="D54" s="162">
        <f>+B54*Лист4!$C$10</f>
        <v>7442800</v>
      </c>
      <c r="E54" s="163">
        <v>12</v>
      </c>
      <c r="F54" s="164"/>
      <c r="G54" s="189" t="s">
        <v>125</v>
      </c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</row>
    <row r="55" spans="1:36" x14ac:dyDescent="0.35">
      <c r="A55" s="187" t="s">
        <v>316</v>
      </c>
      <c r="B55" s="160">
        <v>1</v>
      </c>
      <c r="C55" s="161">
        <f>+Лист4!$C$10</f>
        <v>7442800</v>
      </c>
      <c r="D55" s="162">
        <f>+B55*Лист4!$C$10</f>
        <v>7442800</v>
      </c>
      <c r="E55" s="163">
        <v>12</v>
      </c>
      <c r="F55" s="164"/>
      <c r="G55" s="216" t="s">
        <v>442</v>
      </c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</row>
    <row r="56" spans="1:36" x14ac:dyDescent="0.35">
      <c r="A56" s="187" t="s">
        <v>316</v>
      </c>
      <c r="B56" s="160">
        <v>1</v>
      </c>
      <c r="C56" s="161">
        <f>+Лист4!$C$10</f>
        <v>7442800</v>
      </c>
      <c r="D56" s="162">
        <f>+B56*Лист4!$C$10</f>
        <v>7442800</v>
      </c>
      <c r="E56" s="163">
        <v>12</v>
      </c>
      <c r="F56" s="164"/>
      <c r="G56" s="215" t="s">
        <v>441</v>
      </c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</row>
    <row r="57" spans="1:36" x14ac:dyDescent="0.35">
      <c r="A57" s="187" t="s">
        <v>317</v>
      </c>
      <c r="B57" s="160">
        <v>1</v>
      </c>
      <c r="C57" s="161">
        <f>+Лист4!$C$9</f>
        <v>6978500</v>
      </c>
      <c r="D57" s="162">
        <f>+B57*Лист4!$C$9</f>
        <v>6978500</v>
      </c>
      <c r="E57" s="163">
        <v>11</v>
      </c>
      <c r="F57" s="164"/>
      <c r="G57" s="189" t="s">
        <v>244</v>
      </c>
    </row>
    <row r="58" spans="1:36" x14ac:dyDescent="0.35">
      <c r="A58" s="187" t="s">
        <v>317</v>
      </c>
      <c r="B58" s="160">
        <v>1</v>
      </c>
      <c r="C58" s="161">
        <f>+Лист4!$C$9</f>
        <v>6978500</v>
      </c>
      <c r="D58" s="162">
        <f>+B58*Лист4!$C$9</f>
        <v>6978500</v>
      </c>
      <c r="E58" s="163">
        <v>11</v>
      </c>
      <c r="F58" s="164"/>
      <c r="G58" s="189" t="s">
        <v>248</v>
      </c>
    </row>
    <row r="59" spans="1:36" x14ac:dyDescent="0.35">
      <c r="A59" s="187" t="s">
        <v>317</v>
      </c>
      <c r="B59" s="160">
        <v>1</v>
      </c>
      <c r="C59" s="161">
        <f>+Лист4!$C$9</f>
        <v>6978500</v>
      </c>
      <c r="D59" s="162">
        <f>+B59*Лист4!$C$9</f>
        <v>6978500</v>
      </c>
      <c r="E59" s="163">
        <v>11</v>
      </c>
      <c r="F59" s="164"/>
      <c r="G59" s="189" t="s">
        <v>399</v>
      </c>
    </row>
    <row r="60" spans="1:36" x14ac:dyDescent="0.35">
      <c r="A60" s="187" t="s">
        <v>317</v>
      </c>
      <c r="B60" s="160">
        <v>1</v>
      </c>
      <c r="C60" s="161">
        <f>+Лист4!$C$9</f>
        <v>6978500</v>
      </c>
      <c r="D60" s="162">
        <f>+B60*Лист4!$C$9</f>
        <v>6978500</v>
      </c>
      <c r="E60" s="163">
        <v>11</v>
      </c>
      <c r="F60" s="164"/>
      <c r="G60" s="189" t="s">
        <v>147</v>
      </c>
    </row>
    <row r="61" spans="1:36" x14ac:dyDescent="0.35">
      <c r="A61" s="187" t="s">
        <v>317</v>
      </c>
      <c r="B61" s="160">
        <v>1</v>
      </c>
      <c r="C61" s="161">
        <f>+Лист4!$C$9</f>
        <v>6978500</v>
      </c>
      <c r="D61" s="162">
        <f>+B61*Лист4!$C$9</f>
        <v>6978500</v>
      </c>
      <c r="E61" s="163">
        <v>11</v>
      </c>
      <c r="F61" s="164"/>
      <c r="G61" s="189" t="s">
        <v>168</v>
      </c>
    </row>
    <row r="62" spans="1:36" x14ac:dyDescent="0.35">
      <c r="A62" s="187" t="s">
        <v>317</v>
      </c>
      <c r="B62" s="160">
        <v>1</v>
      </c>
      <c r="C62" s="161">
        <f>+Лист4!$C$9</f>
        <v>6978500</v>
      </c>
      <c r="D62" s="162">
        <f>+B62*Лист4!$C$9</f>
        <v>6978500</v>
      </c>
      <c r="E62" s="163">
        <v>11</v>
      </c>
      <c r="F62" s="164"/>
      <c r="G62" s="189" t="s">
        <v>249</v>
      </c>
    </row>
    <row r="63" spans="1:36" x14ac:dyDescent="0.35">
      <c r="A63" s="187" t="s">
        <v>317</v>
      </c>
      <c r="B63" s="160">
        <v>1</v>
      </c>
      <c r="C63" s="161">
        <f>+Лист4!$C$9</f>
        <v>6978500</v>
      </c>
      <c r="D63" s="162">
        <f>+B63*Лист4!$C$9</f>
        <v>6978500</v>
      </c>
      <c r="E63" s="163">
        <v>11</v>
      </c>
      <c r="F63" s="164"/>
      <c r="G63" s="215" t="s">
        <v>443</v>
      </c>
    </row>
    <row r="64" spans="1:36" x14ac:dyDescent="0.35">
      <c r="A64" s="187" t="s">
        <v>317</v>
      </c>
      <c r="B64" s="160">
        <v>1</v>
      </c>
      <c r="C64" s="161">
        <f>+Лист4!$C$9</f>
        <v>6978500</v>
      </c>
      <c r="D64" s="162">
        <f>+B64*Лист4!$C$9</f>
        <v>6978500</v>
      </c>
      <c r="E64" s="163">
        <v>11</v>
      </c>
      <c r="F64" s="164"/>
      <c r="G64" s="215" t="s">
        <v>448</v>
      </c>
    </row>
    <row r="65" spans="1:36" x14ac:dyDescent="0.35">
      <c r="A65" s="187" t="s">
        <v>318</v>
      </c>
      <c r="B65" s="160">
        <v>1</v>
      </c>
      <c r="C65" s="161">
        <f>+Лист4!$C$8</f>
        <v>6524600</v>
      </c>
      <c r="D65" s="162">
        <f>+B65*Лист4!$C$8</f>
        <v>6524600</v>
      </c>
      <c r="E65" s="163">
        <v>10</v>
      </c>
      <c r="F65" s="164" t="s">
        <v>192</v>
      </c>
      <c r="G65" s="189" t="s">
        <v>398</v>
      </c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pans="1:36" x14ac:dyDescent="0.35">
      <c r="A66" s="187" t="s">
        <v>318</v>
      </c>
      <c r="B66" s="160">
        <v>1</v>
      </c>
      <c r="C66" s="161">
        <f>+Лист4!$C$8</f>
        <v>6524600</v>
      </c>
      <c r="D66" s="162">
        <f>+B66*Лист4!$C$8</f>
        <v>6524600</v>
      </c>
      <c r="E66" s="163">
        <v>10</v>
      </c>
      <c r="F66" s="164"/>
      <c r="G66" s="189" t="s">
        <v>60</v>
      </c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</row>
    <row r="67" spans="1:36" x14ac:dyDescent="0.35">
      <c r="A67" s="187" t="s">
        <v>318</v>
      </c>
      <c r="B67" s="160">
        <v>1</v>
      </c>
      <c r="C67" s="161">
        <f>+Лист4!$C$8</f>
        <v>6524600</v>
      </c>
      <c r="D67" s="162">
        <f>+B67*Лист4!$C$8</f>
        <v>6524600</v>
      </c>
      <c r="E67" s="163">
        <v>10</v>
      </c>
      <c r="F67" s="164"/>
      <c r="G67" s="215" t="s">
        <v>444</v>
      </c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x14ac:dyDescent="0.35">
      <c r="A68" s="187" t="s">
        <v>318</v>
      </c>
      <c r="B68" s="160">
        <v>1</v>
      </c>
      <c r="C68" s="161">
        <f>+Лист4!$C$8</f>
        <v>6524600</v>
      </c>
      <c r="D68" s="162">
        <f>+B68*Лист4!$C$8</f>
        <v>6524600</v>
      </c>
      <c r="E68" s="163">
        <v>10</v>
      </c>
      <c r="F68" s="164"/>
      <c r="G68" s="215" t="s">
        <v>445</v>
      </c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</row>
    <row r="69" spans="1:36" x14ac:dyDescent="0.35">
      <c r="A69" s="187" t="s">
        <v>318</v>
      </c>
      <c r="B69" s="160">
        <v>1</v>
      </c>
      <c r="C69" s="161">
        <f>+Лист4!$C$8</f>
        <v>6524600</v>
      </c>
      <c r="D69" s="162">
        <f>+B69*Лист4!$C$8</f>
        <v>6524600</v>
      </c>
      <c r="E69" s="163">
        <v>10</v>
      </c>
      <c r="F69" s="164"/>
      <c r="G69" s="215" t="s">
        <v>446</v>
      </c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</row>
    <row r="70" spans="1:36" x14ac:dyDescent="0.35">
      <c r="A70" s="187" t="s">
        <v>318</v>
      </c>
      <c r="B70" s="160">
        <v>1</v>
      </c>
      <c r="C70" s="161">
        <f>+Лист4!$C$8</f>
        <v>6524600</v>
      </c>
      <c r="D70" s="162">
        <f>+B70*Лист4!$C$8</f>
        <v>6524600</v>
      </c>
      <c r="E70" s="163">
        <v>10</v>
      </c>
      <c r="F70" s="164"/>
      <c r="G70" s="208" t="s">
        <v>28</v>
      </c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</row>
    <row r="71" spans="1:36" x14ac:dyDescent="0.35">
      <c r="A71" s="187" t="s">
        <v>318</v>
      </c>
      <c r="B71" s="160">
        <v>1</v>
      </c>
      <c r="C71" s="161">
        <f>+Лист4!$C$8</f>
        <v>6524600</v>
      </c>
      <c r="D71" s="162">
        <f>+B71*Лист4!$C$8</f>
        <v>6524600</v>
      </c>
      <c r="E71" s="163">
        <v>10</v>
      </c>
      <c r="F71" s="164"/>
      <c r="G71" s="189" t="s">
        <v>180</v>
      </c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</row>
    <row r="72" spans="1:36" x14ac:dyDescent="0.35">
      <c r="A72" s="187" t="s">
        <v>318</v>
      </c>
      <c r="B72" s="160">
        <v>1</v>
      </c>
      <c r="C72" s="161">
        <f>+Лист4!$C$8</f>
        <v>6524600</v>
      </c>
      <c r="D72" s="162">
        <f>+B72*Лист4!$C$8</f>
        <v>6524600</v>
      </c>
      <c r="E72" s="163">
        <v>10</v>
      </c>
      <c r="F72" s="164"/>
      <c r="G72" s="215" t="s">
        <v>451</v>
      </c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</row>
    <row r="73" spans="1:36" x14ac:dyDescent="0.35">
      <c r="A73" s="187" t="s">
        <v>319</v>
      </c>
      <c r="B73" s="160">
        <v>1</v>
      </c>
      <c r="C73" s="161">
        <f>+Лист4!$C$7</f>
        <v>6081100</v>
      </c>
      <c r="D73" s="162">
        <f>+B73*Лист4!$C$7</f>
        <v>6081100</v>
      </c>
      <c r="E73" s="163">
        <v>9</v>
      </c>
      <c r="F73" s="164"/>
      <c r="G73" s="189" t="s">
        <v>203</v>
      </c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</row>
    <row r="74" spans="1:36" x14ac:dyDescent="0.35">
      <c r="A74" s="187" t="s">
        <v>319</v>
      </c>
      <c r="B74" s="160">
        <v>1</v>
      </c>
      <c r="C74" s="161">
        <f>+Лист4!$C$7</f>
        <v>6081100</v>
      </c>
      <c r="D74" s="162">
        <f>+B74*Лист4!$C$7</f>
        <v>6081100</v>
      </c>
      <c r="E74" s="163">
        <v>9</v>
      </c>
      <c r="F74" s="164"/>
      <c r="G74" s="189" t="s">
        <v>403</v>
      </c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</row>
    <row r="75" spans="1:36" x14ac:dyDescent="0.35">
      <c r="A75" s="187" t="s">
        <v>319</v>
      </c>
      <c r="B75" s="160">
        <v>1</v>
      </c>
      <c r="C75" s="161">
        <f>+Лист4!$C$7</f>
        <v>6081100</v>
      </c>
      <c r="D75" s="162">
        <f>+B75*Лист4!$C$7</f>
        <v>6081100</v>
      </c>
      <c r="E75" s="163">
        <v>9</v>
      </c>
      <c r="F75" s="164"/>
      <c r="G75" s="189" t="s">
        <v>61</v>
      </c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</row>
    <row r="76" spans="1:36" x14ac:dyDescent="0.35">
      <c r="A76" s="187" t="s">
        <v>319</v>
      </c>
      <c r="B76" s="160">
        <v>1</v>
      </c>
      <c r="C76" s="161">
        <f>+Лист4!$C$7</f>
        <v>6081100</v>
      </c>
      <c r="D76" s="162">
        <f>+B76*Лист4!$C$7</f>
        <v>6081100</v>
      </c>
      <c r="E76" s="163">
        <v>9</v>
      </c>
      <c r="F76" s="164"/>
      <c r="G76" s="189" t="s">
        <v>406</v>
      </c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</row>
    <row r="77" spans="1:36" x14ac:dyDescent="0.35">
      <c r="A77" s="187" t="s">
        <v>319</v>
      </c>
      <c r="B77" s="160">
        <v>1</v>
      </c>
      <c r="C77" s="161">
        <f>+Лист4!$C$7</f>
        <v>6081100</v>
      </c>
      <c r="D77" s="162">
        <f>+B77*Лист4!$C$7</f>
        <v>6081100</v>
      </c>
      <c r="E77" s="163">
        <v>9</v>
      </c>
      <c r="F77" s="164"/>
      <c r="G77" s="215" t="s">
        <v>449</v>
      </c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</row>
    <row r="78" spans="1:36" x14ac:dyDescent="0.35">
      <c r="A78" s="187" t="s">
        <v>319</v>
      </c>
      <c r="B78" s="160">
        <v>1</v>
      </c>
      <c r="C78" s="161">
        <f>+Лист4!$C$7</f>
        <v>6081100</v>
      </c>
      <c r="D78" s="162">
        <f>+B78*Лист4!$C$7</f>
        <v>6081100</v>
      </c>
      <c r="E78" s="163">
        <v>9</v>
      </c>
      <c r="F78" s="164"/>
      <c r="G78" s="183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</row>
    <row r="79" spans="1:36" x14ac:dyDescent="0.35">
      <c r="A79" s="187" t="s">
        <v>319</v>
      </c>
      <c r="B79" s="160">
        <v>1</v>
      </c>
      <c r="C79" s="161">
        <f>+Лист4!$C$7</f>
        <v>6081100</v>
      </c>
      <c r="D79" s="162">
        <f>+B79*Лист4!$C$7</f>
        <v>6081100</v>
      </c>
      <c r="E79" s="163">
        <v>9</v>
      </c>
      <c r="F79" s="164"/>
      <c r="G79" s="183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</row>
    <row r="80" spans="1:36" x14ac:dyDescent="0.35">
      <c r="A80" s="187" t="s">
        <v>319</v>
      </c>
      <c r="B80" s="160">
        <v>1</v>
      </c>
      <c r="C80" s="161">
        <f>+Лист4!$C$7</f>
        <v>6081100</v>
      </c>
      <c r="D80" s="162">
        <f>+B80*Лист4!$C$7</f>
        <v>6081100</v>
      </c>
      <c r="E80" s="163">
        <v>9</v>
      </c>
      <c r="F80" s="164"/>
      <c r="G80" s="183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</row>
    <row r="81" spans="1:36" x14ac:dyDescent="0.35">
      <c r="A81" s="187" t="s">
        <v>320</v>
      </c>
      <c r="B81" s="160">
        <v>1</v>
      </c>
      <c r="C81" s="161">
        <f>+Лист4!$C$6</f>
        <v>5648000</v>
      </c>
      <c r="D81" s="162">
        <f>+Лист4!$C$6*'liast----'!B81</f>
        <v>5648000</v>
      </c>
      <c r="E81" s="163">
        <v>8</v>
      </c>
      <c r="F81" s="164"/>
      <c r="G81" s="216" t="s">
        <v>450</v>
      </c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</row>
    <row r="82" spans="1:36" x14ac:dyDescent="0.35">
      <c r="A82" s="187" t="s">
        <v>320</v>
      </c>
      <c r="B82" s="160">
        <v>1</v>
      </c>
      <c r="C82" s="161">
        <f>+Лист4!$C$6</f>
        <v>5648000</v>
      </c>
      <c r="D82" s="162">
        <f>+Лист4!$C$6*'liast----'!B82</f>
        <v>5648000</v>
      </c>
      <c r="E82" s="163">
        <v>8</v>
      </c>
      <c r="F82" s="164"/>
      <c r="G82" s="215" t="s">
        <v>440</v>
      </c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</row>
    <row r="83" spans="1:36" x14ac:dyDescent="0.35">
      <c r="A83" s="187" t="s">
        <v>320</v>
      </c>
      <c r="B83" s="160">
        <v>1</v>
      </c>
      <c r="C83" s="161">
        <f>+Лист4!$C$6</f>
        <v>5648000</v>
      </c>
      <c r="D83" s="162">
        <f>+Лист4!$C$6*'liast----'!B83</f>
        <v>5648000</v>
      </c>
      <c r="E83" s="163">
        <v>8</v>
      </c>
      <c r="F83" s="164"/>
      <c r="G83" s="183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</row>
    <row r="84" spans="1:36" x14ac:dyDescent="0.35">
      <c r="A84" s="187" t="s">
        <v>320</v>
      </c>
      <c r="B84" s="160">
        <v>1</v>
      </c>
      <c r="C84" s="161">
        <f>+Лист4!$C$6</f>
        <v>5648000</v>
      </c>
      <c r="D84" s="162">
        <f>+Лист4!$C$6*'liast----'!B84</f>
        <v>5648000</v>
      </c>
      <c r="E84" s="163">
        <v>8</v>
      </c>
      <c r="F84" s="164"/>
      <c r="G84" s="183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</row>
    <row r="85" spans="1:36" x14ac:dyDescent="0.35">
      <c r="A85" s="187" t="s">
        <v>320</v>
      </c>
      <c r="B85" s="160">
        <v>1</v>
      </c>
      <c r="C85" s="161">
        <f>+Лист4!$C$6</f>
        <v>5648000</v>
      </c>
      <c r="D85" s="162">
        <f>+Лист4!$C$6*'liast----'!B85</f>
        <v>5648000</v>
      </c>
      <c r="E85" s="163">
        <v>8</v>
      </c>
      <c r="F85" s="164"/>
      <c r="G85" s="164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</row>
    <row r="86" spans="1:36" x14ac:dyDescent="0.35">
      <c r="A86" s="187" t="s">
        <v>320</v>
      </c>
      <c r="B86" s="160">
        <v>1</v>
      </c>
      <c r="C86" s="161">
        <f>+Лист4!$C$6</f>
        <v>5648000</v>
      </c>
      <c r="D86" s="162">
        <f>+Лист4!$C$6*'liast----'!B86</f>
        <v>5648000</v>
      </c>
      <c r="E86" s="163">
        <v>8</v>
      </c>
      <c r="F86" s="164"/>
      <c r="G86" s="164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x14ac:dyDescent="0.35">
      <c r="A87" s="187" t="s">
        <v>320</v>
      </c>
      <c r="B87" s="160">
        <v>1</v>
      </c>
      <c r="C87" s="161">
        <f>+Лист4!$C$6</f>
        <v>5648000</v>
      </c>
      <c r="D87" s="162">
        <f>+Лист4!$C$6*'liast----'!B87</f>
        <v>5648000</v>
      </c>
      <c r="E87" s="163">
        <v>8</v>
      </c>
      <c r="F87" s="164"/>
      <c r="G87" s="189" t="s">
        <v>436</v>
      </c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</row>
    <row r="88" spans="1:36" x14ac:dyDescent="0.35">
      <c r="A88" s="187" t="s">
        <v>320</v>
      </c>
      <c r="B88" s="160">
        <v>1</v>
      </c>
      <c r="C88" s="161">
        <f>+Лист4!$C$6</f>
        <v>5648000</v>
      </c>
      <c r="D88" s="162">
        <f>+Лист4!$C$6*'liast----'!B88</f>
        <v>5648000</v>
      </c>
      <c r="E88" s="163">
        <v>8</v>
      </c>
      <c r="F88" s="164"/>
      <c r="G88" s="189" t="s">
        <v>437</v>
      </c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</row>
    <row r="89" spans="1:36" x14ac:dyDescent="0.35">
      <c r="A89" s="186" t="s">
        <v>5</v>
      </c>
      <c r="B89" s="165">
        <f>SUM(B49:B88)</f>
        <v>40</v>
      </c>
      <c r="C89" s="165"/>
      <c r="D89" s="166">
        <f>SUM(D49:D88)</f>
        <v>262817300</v>
      </c>
      <c r="E89" s="163"/>
      <c r="F89" s="164"/>
      <c r="G89" s="183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</row>
    <row r="90" spans="1:36" x14ac:dyDescent="0.35">
      <c r="A90" s="195" t="s">
        <v>415</v>
      </c>
      <c r="B90" s="160"/>
      <c r="C90" s="160"/>
      <c r="D90" s="162"/>
      <c r="E90" s="163"/>
      <c r="F90" s="164"/>
      <c r="G90" s="183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</row>
    <row r="91" spans="1:36" x14ac:dyDescent="0.35">
      <c r="A91" s="187" t="s">
        <v>287</v>
      </c>
      <c r="B91" s="160">
        <v>1</v>
      </c>
      <c r="C91" s="161">
        <f>+Лист4!$C$13</f>
        <v>8388800</v>
      </c>
      <c r="D91" s="162">
        <f>+B91*Лист4!$C$13</f>
        <v>8388800</v>
      </c>
      <c r="E91" s="163">
        <v>14</v>
      </c>
      <c r="F91" s="164"/>
      <c r="G91" s="189" t="s">
        <v>167</v>
      </c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</row>
    <row r="92" spans="1:36" x14ac:dyDescent="0.35">
      <c r="A92" s="187" t="s">
        <v>288</v>
      </c>
      <c r="B92" s="160">
        <v>1</v>
      </c>
      <c r="C92" s="161">
        <f>+Лист4!$C$11</f>
        <v>7914100</v>
      </c>
      <c r="D92" s="162">
        <f>+B92*Лист4!$C$11</f>
        <v>7914100</v>
      </c>
      <c r="E92" s="163">
        <v>13</v>
      </c>
      <c r="F92" s="164"/>
      <c r="G92" s="189" t="s">
        <v>177</v>
      </c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</row>
    <row r="93" spans="1:36" x14ac:dyDescent="0.35">
      <c r="A93" s="187" t="s">
        <v>316</v>
      </c>
      <c r="B93" s="160">
        <v>1</v>
      </c>
      <c r="C93" s="161">
        <f>+Лист4!$C$10</f>
        <v>7442800</v>
      </c>
      <c r="D93" s="162">
        <f>+B93*Лист4!$C$10</f>
        <v>7442800</v>
      </c>
      <c r="E93" s="163">
        <v>12</v>
      </c>
      <c r="F93" s="164"/>
      <c r="G93" s="189" t="s">
        <v>192</v>
      </c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</row>
    <row r="94" spans="1:36" x14ac:dyDescent="0.35">
      <c r="A94" s="187" t="s">
        <v>317</v>
      </c>
      <c r="B94" s="160">
        <v>1</v>
      </c>
      <c r="C94" s="161">
        <f>+Лист4!$C$9</f>
        <v>6978500</v>
      </c>
      <c r="D94" s="162">
        <f>+B94*Лист4!$C$9</f>
        <v>6978500</v>
      </c>
      <c r="E94" s="163">
        <v>11</v>
      </c>
      <c r="F94" s="164"/>
      <c r="G94" s="189" t="s">
        <v>178</v>
      </c>
    </row>
    <row r="95" spans="1:36" x14ac:dyDescent="0.35">
      <c r="A95" s="187" t="s">
        <v>318</v>
      </c>
      <c r="B95" s="160">
        <v>1</v>
      </c>
      <c r="C95" s="161">
        <f>+Лист4!$C$8</f>
        <v>6524600</v>
      </c>
      <c r="D95" s="162">
        <f>+B95*Лист4!$C$8</f>
        <v>6524600</v>
      </c>
      <c r="E95" s="163">
        <v>10</v>
      </c>
      <c r="F95" s="164"/>
      <c r="G95" s="183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</row>
    <row r="96" spans="1:36" x14ac:dyDescent="0.35">
      <c r="A96" s="187" t="s">
        <v>319</v>
      </c>
      <c r="B96" s="160">
        <v>1</v>
      </c>
      <c r="C96" s="161">
        <f>+Лист4!$C$7</f>
        <v>6081100</v>
      </c>
      <c r="D96" s="162">
        <f>+B96*Лист4!$C$7</f>
        <v>6081100</v>
      </c>
      <c r="E96" s="163">
        <v>9</v>
      </c>
      <c r="F96" s="164"/>
      <c r="G96" s="189" t="s">
        <v>438</v>
      </c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</row>
    <row r="97" spans="1:36" x14ac:dyDescent="0.35">
      <c r="A97" s="187" t="s">
        <v>320</v>
      </c>
      <c r="B97" s="160">
        <v>1</v>
      </c>
      <c r="C97" s="161">
        <f>+Лист4!$C$6</f>
        <v>5648000</v>
      </c>
      <c r="D97" s="162">
        <f>+Лист4!$C$6*'liast----'!B97</f>
        <v>5648000</v>
      </c>
      <c r="E97" s="163">
        <v>8</v>
      </c>
      <c r="F97" s="164"/>
      <c r="G97" s="189" t="s">
        <v>400</v>
      </c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</row>
    <row r="98" spans="1:36" x14ac:dyDescent="0.35">
      <c r="A98" s="186" t="s">
        <v>5</v>
      </c>
      <c r="B98" s="165">
        <f>SUM(B91:B97)</f>
        <v>7</v>
      </c>
      <c r="C98" s="165"/>
      <c r="D98" s="166">
        <f>SUM(D91:D97)</f>
        <v>48977900</v>
      </c>
      <c r="E98" s="163"/>
      <c r="F98" s="164"/>
      <c r="G98" s="183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</row>
    <row r="99" spans="1:36" x14ac:dyDescent="0.35">
      <c r="A99" s="194" t="s">
        <v>416</v>
      </c>
      <c r="B99" s="160"/>
      <c r="C99" s="160"/>
      <c r="D99" s="162"/>
      <c r="E99" s="163"/>
      <c r="F99" s="164"/>
      <c r="G99" s="183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</row>
    <row r="100" spans="1:36" x14ac:dyDescent="0.35">
      <c r="A100" s="187" t="s">
        <v>302</v>
      </c>
      <c r="B100" s="160">
        <v>1</v>
      </c>
      <c r="C100" s="161">
        <f>+Лист4!$C$10</f>
        <v>7442800</v>
      </c>
      <c r="D100" s="162">
        <f>+B100*Лист4!$C$10</f>
        <v>7442800</v>
      </c>
      <c r="E100" s="163">
        <v>12</v>
      </c>
      <c r="F100" s="164"/>
      <c r="G100" s="208" t="s">
        <v>170</v>
      </c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</row>
    <row r="101" spans="1:36" x14ac:dyDescent="0.35">
      <c r="A101" s="187" t="s">
        <v>322</v>
      </c>
      <c r="B101" s="160">
        <v>1</v>
      </c>
      <c r="C101" s="161">
        <f>+Лист4!$C$9</f>
        <v>6978500</v>
      </c>
      <c r="D101" s="162">
        <f>+B101*Лист4!$C$9</f>
        <v>6978500</v>
      </c>
      <c r="E101" s="163">
        <v>11</v>
      </c>
      <c r="F101" s="164"/>
      <c r="G101" s="208" t="s">
        <v>189</v>
      </c>
    </row>
    <row r="102" spans="1:36" x14ac:dyDescent="0.35">
      <c r="A102" s="187" t="s">
        <v>323</v>
      </c>
      <c r="B102" s="160">
        <v>1</v>
      </c>
      <c r="C102" s="161">
        <f>+Лист4!$C$8</f>
        <v>6524600</v>
      </c>
      <c r="D102" s="162">
        <f>+B102*Лист4!$C$8</f>
        <v>6524600</v>
      </c>
      <c r="E102" s="163">
        <v>10</v>
      </c>
      <c r="F102" s="164"/>
      <c r="G102" s="208" t="s">
        <v>187</v>
      </c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</row>
    <row r="103" spans="1:36" x14ac:dyDescent="0.35">
      <c r="A103" s="186" t="s">
        <v>5</v>
      </c>
      <c r="B103" s="165">
        <f>SUM(B100:B102)</f>
        <v>3</v>
      </c>
      <c r="C103" s="165"/>
      <c r="D103" s="166">
        <f>SUM(D100:D102)</f>
        <v>20945900</v>
      </c>
      <c r="E103" s="163"/>
      <c r="F103" s="164"/>
      <c r="G103" s="183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</row>
    <row r="104" spans="1:36" x14ac:dyDescent="0.35">
      <c r="A104" s="196" t="s">
        <v>370</v>
      </c>
      <c r="B104" s="160"/>
      <c r="C104" s="160"/>
      <c r="D104" s="162"/>
      <c r="E104" s="163"/>
      <c r="F104" s="164"/>
      <c r="G104" s="183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</row>
    <row r="105" spans="1:36" x14ac:dyDescent="0.35">
      <c r="A105" s="187" t="s">
        <v>270</v>
      </c>
      <c r="B105" s="160">
        <v>1</v>
      </c>
      <c r="C105" s="161">
        <f>+Лист4!$C$11</f>
        <v>7914100</v>
      </c>
      <c r="D105" s="162">
        <f>+B105*Лист4!$C$11</f>
        <v>7914100</v>
      </c>
      <c r="E105" s="163">
        <v>13</v>
      </c>
      <c r="F105" s="164"/>
      <c r="G105" s="183" t="s">
        <v>397</v>
      </c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</row>
    <row r="106" spans="1:36" x14ac:dyDescent="0.35">
      <c r="A106" s="187" t="s">
        <v>316</v>
      </c>
      <c r="B106" s="160">
        <v>1</v>
      </c>
      <c r="C106" s="161">
        <f>+Лист4!$C$10</f>
        <v>7442800</v>
      </c>
      <c r="D106" s="162">
        <f>+B106*Лист4!$C$10</f>
        <v>7442800</v>
      </c>
      <c r="E106" s="163">
        <v>12</v>
      </c>
      <c r="F106" s="164"/>
      <c r="G106" s="215" t="s">
        <v>447</v>
      </c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</row>
    <row r="107" spans="1:36" x14ac:dyDescent="0.35">
      <c r="A107" s="187" t="s">
        <v>317</v>
      </c>
      <c r="B107" s="160">
        <v>1</v>
      </c>
      <c r="C107" s="161">
        <f>+Лист4!$C$9</f>
        <v>6978500</v>
      </c>
      <c r="D107" s="162">
        <f>+B107*Лист4!$C$9</f>
        <v>6978500</v>
      </c>
      <c r="E107" s="163">
        <v>11</v>
      </c>
      <c r="F107" s="164"/>
      <c r="G107" s="183" t="s">
        <v>397</v>
      </c>
    </row>
    <row r="108" spans="1:36" x14ac:dyDescent="0.35">
      <c r="A108" s="187" t="s">
        <v>318</v>
      </c>
      <c r="B108" s="160">
        <v>1</v>
      </c>
      <c r="C108" s="161">
        <f>+Лист4!$C$8</f>
        <v>6524600</v>
      </c>
      <c r="D108" s="162">
        <f>+B108*Лист4!$C$8</f>
        <v>6524600</v>
      </c>
      <c r="E108" s="163">
        <v>10</v>
      </c>
      <c r="F108" s="164"/>
      <c r="G108" s="183" t="s">
        <v>397</v>
      </c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</row>
    <row r="109" spans="1:36" s="170" customFormat="1" x14ac:dyDescent="0.35">
      <c r="A109" s="194" t="s">
        <v>5</v>
      </c>
      <c r="B109" s="165">
        <f>SUM(B105:B108)</f>
        <v>4</v>
      </c>
      <c r="C109" s="165"/>
      <c r="D109" s="166">
        <f>SUM(D105:D108)</f>
        <v>28860000</v>
      </c>
      <c r="E109" s="167"/>
      <c r="F109" s="164"/>
      <c r="G109" s="197"/>
    </row>
    <row r="110" spans="1:36" x14ac:dyDescent="0.35">
      <c r="A110" s="195" t="s">
        <v>371</v>
      </c>
      <c r="B110" s="160"/>
      <c r="C110" s="160"/>
      <c r="D110" s="162"/>
      <c r="E110" s="163"/>
      <c r="F110" s="164"/>
      <c r="G110" s="183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</row>
    <row r="111" spans="1:36" x14ac:dyDescent="0.35">
      <c r="A111" s="194" t="s">
        <v>354</v>
      </c>
      <c r="B111" s="165">
        <v>1</v>
      </c>
      <c r="C111" s="168">
        <f>+Лист4!$C$13</f>
        <v>8388800</v>
      </c>
      <c r="D111" s="166">
        <f>+B111*Лист4!$C$13</f>
        <v>8388800</v>
      </c>
      <c r="E111" s="167">
        <v>14</v>
      </c>
      <c r="F111" s="164" t="s">
        <v>256</v>
      </c>
      <c r="G111" s="208" t="s">
        <v>256</v>
      </c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</row>
    <row r="112" spans="1:36" x14ac:dyDescent="0.35">
      <c r="A112" s="195" t="s">
        <v>417</v>
      </c>
      <c r="B112" s="160"/>
      <c r="C112" s="160"/>
      <c r="D112" s="162"/>
      <c r="E112" s="163"/>
      <c r="F112" s="164"/>
      <c r="G112" s="183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</row>
    <row r="113" spans="1:36" x14ac:dyDescent="0.35">
      <c r="A113" s="187" t="s">
        <v>270</v>
      </c>
      <c r="B113" s="160">
        <v>1</v>
      </c>
      <c r="C113" s="161">
        <f>+Лист4!$C$11</f>
        <v>7914100</v>
      </c>
      <c r="D113" s="162">
        <f>+B113*Лист4!$C$11</f>
        <v>7914100</v>
      </c>
      <c r="E113" s="163">
        <v>13</v>
      </c>
      <c r="F113" s="164" t="s">
        <v>256</v>
      </c>
      <c r="G113" s="208" t="s">
        <v>346</v>
      </c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</row>
    <row r="114" spans="1:36" x14ac:dyDescent="0.35">
      <c r="A114" s="187" t="s">
        <v>23</v>
      </c>
      <c r="B114" s="160">
        <v>1</v>
      </c>
      <c r="C114" s="161">
        <f>+Лист4!$C$10</f>
        <v>7442800</v>
      </c>
      <c r="D114" s="162">
        <f>+B114*Лист4!$C$10</f>
        <v>7442800</v>
      </c>
      <c r="E114" s="163">
        <v>12</v>
      </c>
      <c r="F114" s="164" t="s">
        <v>9</v>
      </c>
      <c r="G114" s="189" t="s">
        <v>246</v>
      </c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</row>
    <row r="115" spans="1:36" x14ac:dyDescent="0.35">
      <c r="A115" s="187" t="s">
        <v>131</v>
      </c>
      <c r="B115" s="160">
        <v>1</v>
      </c>
      <c r="C115" s="161">
        <f>+Лист4!$C$8</f>
        <v>6524600</v>
      </c>
      <c r="D115" s="162">
        <f>+B115*Лист4!$C$8</f>
        <v>6524600</v>
      </c>
      <c r="E115" s="163">
        <v>10</v>
      </c>
      <c r="F115" s="164" t="s">
        <v>246</v>
      </c>
      <c r="G115" s="189" t="s">
        <v>53</v>
      </c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</row>
    <row r="116" spans="1:36" x14ac:dyDescent="0.35">
      <c r="A116" s="187" t="s">
        <v>131</v>
      </c>
      <c r="B116" s="160">
        <v>1</v>
      </c>
      <c r="C116" s="161">
        <v>6524600</v>
      </c>
      <c r="D116" s="162">
        <v>6524600</v>
      </c>
      <c r="E116" s="163">
        <v>10</v>
      </c>
      <c r="F116" s="164" t="s">
        <v>346</v>
      </c>
      <c r="G116" s="189" t="s">
        <v>19</v>
      </c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</row>
    <row r="117" spans="1:36" s="170" customFormat="1" x14ac:dyDescent="0.35">
      <c r="A117" s="194" t="s">
        <v>5</v>
      </c>
      <c r="B117" s="165">
        <f>SUM(B113:B116)</f>
        <v>4</v>
      </c>
      <c r="C117" s="165"/>
      <c r="D117" s="166">
        <f>SUM(D113:D116)</f>
        <v>28406100</v>
      </c>
      <c r="E117" s="167"/>
      <c r="F117" s="164"/>
      <c r="G117" s="197"/>
    </row>
    <row r="118" spans="1:36" x14ac:dyDescent="0.35">
      <c r="A118" s="195" t="s">
        <v>418</v>
      </c>
      <c r="B118" s="160"/>
      <c r="C118" s="160"/>
      <c r="D118" s="162"/>
      <c r="E118" s="163"/>
      <c r="F118" s="164"/>
      <c r="G118" s="183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pans="1:36" x14ac:dyDescent="0.35">
      <c r="A119" s="187" t="s">
        <v>15</v>
      </c>
      <c r="B119" s="160">
        <v>1</v>
      </c>
      <c r="C119" s="161">
        <f>+Лист4!$C$11</f>
        <v>7914100</v>
      </c>
      <c r="D119" s="162">
        <f>+B119*Лист4!$C$11</f>
        <v>7914100</v>
      </c>
      <c r="E119" s="163">
        <v>13</v>
      </c>
      <c r="F119" s="164" t="s">
        <v>56</v>
      </c>
      <c r="G119" s="208" t="s">
        <v>56</v>
      </c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</row>
    <row r="120" spans="1:36" x14ac:dyDescent="0.35">
      <c r="A120" s="187" t="s">
        <v>52</v>
      </c>
      <c r="B120" s="160">
        <v>1</v>
      </c>
      <c r="C120" s="161">
        <f>+Лист4!$C$9</f>
        <v>6978500</v>
      </c>
      <c r="D120" s="162">
        <f>+B120*Лист4!$C$9</f>
        <v>6978500</v>
      </c>
      <c r="E120" s="163">
        <v>11</v>
      </c>
      <c r="F120" s="164" t="s">
        <v>175</v>
      </c>
      <c r="G120" s="208" t="s">
        <v>175</v>
      </c>
    </row>
    <row r="121" spans="1:36" x14ac:dyDescent="0.35">
      <c r="A121" s="187" t="s">
        <v>131</v>
      </c>
      <c r="B121" s="160">
        <v>1</v>
      </c>
      <c r="C121" s="161">
        <f>+Лист4!$C$8</f>
        <v>6524600</v>
      </c>
      <c r="D121" s="162">
        <f>+B121*Лист4!$C$8</f>
        <v>6524600</v>
      </c>
      <c r="E121" s="163">
        <v>10</v>
      </c>
      <c r="F121" s="164" t="s">
        <v>202</v>
      </c>
      <c r="G121" s="208" t="s">
        <v>202</v>
      </c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</row>
    <row r="122" spans="1:36" x14ac:dyDescent="0.35">
      <c r="A122" s="187" t="s">
        <v>197</v>
      </c>
      <c r="B122" s="160">
        <v>1</v>
      </c>
      <c r="C122" s="161">
        <f>+Лист4!$C$7</f>
        <v>6081100</v>
      </c>
      <c r="D122" s="162">
        <f>+B122*Лист4!$C$7</f>
        <v>6081100</v>
      </c>
      <c r="E122" s="163">
        <v>9</v>
      </c>
      <c r="F122" s="164" t="s">
        <v>9</v>
      </c>
      <c r="G122" s="183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</row>
    <row r="123" spans="1:36" s="170" customFormat="1" x14ac:dyDescent="0.35">
      <c r="A123" s="194" t="s">
        <v>5</v>
      </c>
      <c r="B123" s="165">
        <f>SUM(B119:B122)</f>
        <v>4</v>
      </c>
      <c r="C123" s="165"/>
      <c r="D123" s="166">
        <f>SUM(D119:D122)</f>
        <v>27498300</v>
      </c>
      <c r="E123" s="167"/>
      <c r="F123" s="164"/>
      <c r="G123" s="197"/>
    </row>
    <row r="124" spans="1:36" x14ac:dyDescent="0.35">
      <c r="A124" s="195" t="s">
        <v>419</v>
      </c>
      <c r="B124" s="160"/>
      <c r="C124" s="160"/>
      <c r="D124" s="162"/>
      <c r="E124" s="163"/>
      <c r="F124" s="164"/>
      <c r="G124" s="183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</row>
    <row r="125" spans="1:36" x14ac:dyDescent="0.35">
      <c r="A125" s="187" t="s">
        <v>15</v>
      </c>
      <c r="B125" s="160">
        <v>1</v>
      </c>
      <c r="C125" s="161">
        <f>+Лист4!$C$11</f>
        <v>7914100</v>
      </c>
      <c r="D125" s="162">
        <f>+B125*Лист4!$C$11</f>
        <v>7914100</v>
      </c>
      <c r="E125" s="163">
        <v>13</v>
      </c>
      <c r="F125" s="164" t="s">
        <v>347</v>
      </c>
      <c r="G125" s="189" t="s">
        <v>210</v>
      </c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</row>
    <row r="126" spans="1:36" x14ac:dyDescent="0.35">
      <c r="A126" s="187" t="s">
        <v>52</v>
      </c>
      <c r="B126" s="160">
        <v>1</v>
      </c>
      <c r="C126" s="161">
        <f>+Лист4!$C$9</f>
        <v>6978500</v>
      </c>
      <c r="D126" s="162">
        <f>+B126*Лист4!$C$9</f>
        <v>6978500</v>
      </c>
      <c r="E126" s="163">
        <v>11</v>
      </c>
      <c r="F126" s="164" t="s">
        <v>169</v>
      </c>
      <c r="G126" s="189" t="s">
        <v>169</v>
      </c>
    </row>
    <row r="127" spans="1:36" x14ac:dyDescent="0.35">
      <c r="A127" s="187" t="s">
        <v>131</v>
      </c>
      <c r="B127" s="160">
        <v>1</v>
      </c>
      <c r="C127" s="161">
        <f>+Лист4!$C$8</f>
        <v>6524600</v>
      </c>
      <c r="D127" s="162">
        <f>+B127*Лист4!$C$8</f>
        <v>6524600</v>
      </c>
      <c r="E127" s="163">
        <v>10</v>
      </c>
      <c r="F127" s="164" t="s">
        <v>210</v>
      </c>
      <c r="G127" s="189" t="s">
        <v>347</v>
      </c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</row>
    <row r="128" spans="1:36" s="170" customFormat="1" x14ac:dyDescent="0.35">
      <c r="A128" s="194" t="s">
        <v>5</v>
      </c>
      <c r="B128" s="165">
        <f>SUM(B125:B127)</f>
        <v>3</v>
      </c>
      <c r="C128" s="165"/>
      <c r="D128" s="166">
        <f>SUM(D125:D127)</f>
        <v>21417200</v>
      </c>
      <c r="E128" s="167"/>
      <c r="F128" s="164"/>
      <c r="G128" s="197"/>
    </row>
    <row r="129" spans="1:36" x14ac:dyDescent="0.35">
      <c r="A129" s="190" t="s">
        <v>375</v>
      </c>
      <c r="B129" s="160"/>
      <c r="C129" s="160"/>
      <c r="D129" s="162"/>
      <c r="E129" s="163"/>
      <c r="F129" s="164"/>
      <c r="G129" s="183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</row>
    <row r="130" spans="1:36" x14ac:dyDescent="0.35">
      <c r="A130" s="198" t="s">
        <v>355</v>
      </c>
      <c r="B130" s="165">
        <v>1</v>
      </c>
      <c r="C130" s="168">
        <f>+Лист4!$C$13</f>
        <v>8388800</v>
      </c>
      <c r="D130" s="166">
        <f>+B130*Лист4!$C$13</f>
        <v>8388800</v>
      </c>
      <c r="E130" s="167">
        <v>14</v>
      </c>
      <c r="F130" s="164"/>
      <c r="G130" s="208" t="s">
        <v>135</v>
      </c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</row>
    <row r="131" spans="1:36" ht="24" customHeight="1" x14ac:dyDescent="0.35">
      <c r="A131" s="254" t="s">
        <v>420</v>
      </c>
      <c r="B131" s="255"/>
      <c r="C131" s="174"/>
      <c r="D131" s="174"/>
      <c r="E131" s="163"/>
      <c r="F131" s="164"/>
      <c r="G131" s="183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</row>
    <row r="132" spans="1:36" x14ac:dyDescent="0.35">
      <c r="A132" s="187" t="s">
        <v>270</v>
      </c>
      <c r="B132" s="160">
        <v>1</v>
      </c>
      <c r="C132" s="161">
        <f>+Лист4!$C$11</f>
        <v>7914100</v>
      </c>
      <c r="D132" s="162">
        <f>+B132*Лист4!$C$11</f>
        <v>7914100</v>
      </c>
      <c r="E132" s="163">
        <v>13</v>
      </c>
      <c r="F132" s="164" t="s">
        <v>135</v>
      </c>
      <c r="G132" s="208" t="s">
        <v>130</v>
      </c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</row>
    <row r="133" spans="1:36" x14ac:dyDescent="0.35">
      <c r="A133" s="187" t="s">
        <v>316</v>
      </c>
      <c r="B133" s="160">
        <v>1</v>
      </c>
      <c r="C133" s="161">
        <f>+Лист4!$C$10</f>
        <v>7442800</v>
      </c>
      <c r="D133" s="162">
        <f>+B133*Лист4!$C$10</f>
        <v>7442800</v>
      </c>
      <c r="E133" s="163">
        <v>12</v>
      </c>
      <c r="F133" s="164" t="s">
        <v>130</v>
      </c>
      <c r="G133" s="208" t="s">
        <v>30</v>
      </c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</row>
    <row r="134" spans="1:36" x14ac:dyDescent="0.35">
      <c r="A134" s="187" t="s">
        <v>316</v>
      </c>
      <c r="B134" s="160">
        <v>1</v>
      </c>
      <c r="C134" s="161">
        <f>+Лист4!$C$10</f>
        <v>7442800</v>
      </c>
      <c r="D134" s="162">
        <f>+B134*Лист4!$C$10</f>
        <v>7442800</v>
      </c>
      <c r="E134" s="163">
        <v>12</v>
      </c>
      <c r="F134" s="164" t="s">
        <v>27</v>
      </c>
      <c r="G134" s="208" t="s">
        <v>27</v>
      </c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</row>
    <row r="135" spans="1:36" x14ac:dyDescent="0.35">
      <c r="A135" s="187" t="s">
        <v>316</v>
      </c>
      <c r="B135" s="160">
        <v>1</v>
      </c>
      <c r="C135" s="161">
        <f>+Лист4!$C$10</f>
        <v>7442800</v>
      </c>
      <c r="D135" s="162">
        <f>+B135*Лист4!$C$10</f>
        <v>7442800</v>
      </c>
      <c r="E135" s="163">
        <v>12</v>
      </c>
      <c r="F135" s="164" t="s">
        <v>348</v>
      </c>
      <c r="G135" s="189" t="s">
        <v>32</v>
      </c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</row>
    <row r="136" spans="1:36" x14ac:dyDescent="0.35">
      <c r="A136" s="187" t="s">
        <v>317</v>
      </c>
      <c r="B136" s="160">
        <v>1</v>
      </c>
      <c r="C136" s="161">
        <f>+Лист4!$C$9</f>
        <v>6978500</v>
      </c>
      <c r="D136" s="162">
        <f>+B136*Лист4!$C$9</f>
        <v>6978500</v>
      </c>
      <c r="E136" s="163">
        <v>11</v>
      </c>
      <c r="F136" s="164" t="s">
        <v>201</v>
      </c>
      <c r="G136" s="208" t="s">
        <v>348</v>
      </c>
    </row>
    <row r="137" spans="1:36" x14ac:dyDescent="0.35">
      <c r="A137" s="187" t="s">
        <v>317</v>
      </c>
      <c r="B137" s="160">
        <v>1</v>
      </c>
      <c r="C137" s="161">
        <f>+Лист4!$C$9</f>
        <v>6978500</v>
      </c>
      <c r="D137" s="162">
        <f>+B137*Лист4!$C$9</f>
        <v>6978500</v>
      </c>
      <c r="E137" s="163">
        <v>11</v>
      </c>
      <c r="F137" s="164"/>
      <c r="G137" s="208" t="s">
        <v>127</v>
      </c>
    </row>
    <row r="138" spans="1:36" x14ac:dyDescent="0.35">
      <c r="A138" s="187" t="s">
        <v>317</v>
      </c>
      <c r="B138" s="160">
        <v>1</v>
      </c>
      <c r="C138" s="161">
        <f>+Лист4!$C$9</f>
        <v>6978500</v>
      </c>
      <c r="D138" s="162">
        <f>+B138*Лист4!$C$9</f>
        <v>6978500</v>
      </c>
      <c r="E138" s="163">
        <v>11</v>
      </c>
      <c r="F138" s="164"/>
      <c r="G138" s="208" t="s">
        <v>201</v>
      </c>
    </row>
    <row r="139" spans="1:36" x14ac:dyDescent="0.35">
      <c r="A139" s="187" t="s">
        <v>318</v>
      </c>
      <c r="B139" s="160">
        <v>1</v>
      </c>
      <c r="C139" s="161">
        <f>+Лист4!$C$8</f>
        <v>6524600</v>
      </c>
      <c r="D139" s="162">
        <f>+B139*Лист4!$C$8</f>
        <v>6524600</v>
      </c>
      <c r="E139" s="163">
        <v>10</v>
      </c>
      <c r="F139" s="164"/>
      <c r="G139" s="208" t="s">
        <v>188</v>
      </c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</row>
    <row r="140" spans="1:36" x14ac:dyDescent="0.35">
      <c r="A140" s="187" t="s">
        <v>318</v>
      </c>
      <c r="B140" s="160">
        <v>1</v>
      </c>
      <c r="C140" s="161">
        <f>+Лист4!$C$8</f>
        <v>6524600</v>
      </c>
      <c r="D140" s="162">
        <f>+B140*Лист4!$C$8</f>
        <v>6524600</v>
      </c>
      <c r="E140" s="163">
        <v>10</v>
      </c>
      <c r="F140" s="164"/>
      <c r="G140" s="183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</row>
    <row r="141" spans="1:36" x14ac:dyDescent="0.35">
      <c r="A141" s="187" t="s">
        <v>318</v>
      </c>
      <c r="B141" s="160">
        <v>1</v>
      </c>
      <c r="C141" s="161">
        <f>+Лист4!$C$8</f>
        <v>6524600</v>
      </c>
      <c r="D141" s="162">
        <f>+B141*Лист4!$C$8</f>
        <v>6524600</v>
      </c>
      <c r="E141" s="163">
        <v>10</v>
      </c>
      <c r="F141" s="164"/>
      <c r="G141" s="183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</row>
    <row r="142" spans="1:36" x14ac:dyDescent="0.35">
      <c r="A142" s="187" t="s">
        <v>319</v>
      </c>
      <c r="B142" s="160">
        <v>1</v>
      </c>
      <c r="C142" s="161">
        <f>+Лист4!$C$7</f>
        <v>6081100</v>
      </c>
      <c r="D142" s="162">
        <f>+B142*Лист4!$C$7</f>
        <v>6081100</v>
      </c>
      <c r="E142" s="163">
        <v>9</v>
      </c>
      <c r="F142" s="164" t="s">
        <v>30</v>
      </c>
      <c r="G142" s="208" t="s">
        <v>349</v>
      </c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</row>
    <row r="143" spans="1:36" x14ac:dyDescent="0.35">
      <c r="A143" s="187" t="s">
        <v>319</v>
      </c>
      <c r="B143" s="160">
        <v>1</v>
      </c>
      <c r="C143" s="161">
        <f>+Лист4!$C$7</f>
        <v>6081100</v>
      </c>
      <c r="D143" s="162">
        <f>+B143*Лист4!$C$7</f>
        <v>6081100</v>
      </c>
      <c r="E143" s="163">
        <v>9</v>
      </c>
      <c r="F143" s="164" t="s">
        <v>188</v>
      </c>
      <c r="G143" s="189" t="s">
        <v>401</v>
      </c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</row>
    <row r="144" spans="1:36" x14ac:dyDescent="0.35">
      <c r="A144" s="187" t="s">
        <v>319</v>
      </c>
      <c r="B144" s="160">
        <v>1</v>
      </c>
      <c r="C144" s="161">
        <f>+Лист4!$C$7</f>
        <v>6081100</v>
      </c>
      <c r="D144" s="162">
        <f>+B144*Лист4!$C$7</f>
        <v>6081100</v>
      </c>
      <c r="E144" s="163">
        <v>9</v>
      </c>
      <c r="F144" s="164" t="s">
        <v>9</v>
      </c>
      <c r="G144" s="183" t="s">
        <v>439</v>
      </c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</row>
    <row r="145" spans="1:36" x14ac:dyDescent="0.35">
      <c r="A145" s="187" t="s">
        <v>320</v>
      </c>
      <c r="B145" s="160">
        <v>1</v>
      </c>
      <c r="C145" s="161">
        <f>+Лист4!$C$6</f>
        <v>5648000</v>
      </c>
      <c r="D145" s="162">
        <f>+Лист4!$C$6*'liast----'!B145</f>
        <v>5648000</v>
      </c>
      <c r="E145" s="163">
        <v>8</v>
      </c>
      <c r="F145" s="164" t="s">
        <v>167</v>
      </c>
      <c r="G145" s="155" t="s">
        <v>427</v>
      </c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</row>
    <row r="146" spans="1:36" x14ac:dyDescent="0.35">
      <c r="A146" s="187" t="s">
        <v>320</v>
      </c>
      <c r="B146" s="160">
        <v>1</v>
      </c>
      <c r="C146" s="161">
        <f>+Лист4!$C$6</f>
        <v>5648000</v>
      </c>
      <c r="D146" s="162">
        <f>+Лист4!$C$6*'liast----'!B146</f>
        <v>5648000</v>
      </c>
      <c r="E146" s="163">
        <v>8</v>
      </c>
      <c r="F146" s="164" t="s">
        <v>349</v>
      </c>
      <c r="G146" s="183" t="s">
        <v>428</v>
      </c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</row>
    <row r="147" spans="1:36" x14ac:dyDescent="0.35">
      <c r="A147" s="187" t="s">
        <v>320</v>
      </c>
      <c r="B147" s="160">
        <v>1</v>
      </c>
      <c r="C147" s="161">
        <f>+Лист4!$C$6</f>
        <v>5648000</v>
      </c>
      <c r="D147" s="162">
        <f>+Лист4!$C$6*'liast----'!B147</f>
        <v>5648000</v>
      </c>
      <c r="E147" s="163">
        <v>8</v>
      </c>
      <c r="F147" s="164" t="s">
        <v>127</v>
      </c>
      <c r="G147" s="188" t="s">
        <v>429</v>
      </c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</row>
    <row r="148" spans="1:36" s="170" customFormat="1" x14ac:dyDescent="0.35">
      <c r="A148" s="194" t="s">
        <v>5</v>
      </c>
      <c r="B148" s="165">
        <f>SUM(B132:B147)</f>
        <v>16</v>
      </c>
      <c r="C148" s="165"/>
      <c r="D148" s="166">
        <f>SUM(D132:D147)</f>
        <v>105939100</v>
      </c>
      <c r="E148" s="167"/>
      <c r="F148" s="164"/>
      <c r="G148" s="197"/>
    </row>
    <row r="149" spans="1:36" ht="58.5" customHeight="1" x14ac:dyDescent="0.35">
      <c r="A149" s="199" t="s">
        <v>421</v>
      </c>
      <c r="B149" s="174"/>
      <c r="C149" s="174"/>
      <c r="D149" s="174"/>
      <c r="E149" s="163"/>
      <c r="F149" s="164"/>
      <c r="G149" s="183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</row>
    <row r="150" spans="1:36" x14ac:dyDescent="0.35">
      <c r="A150" s="187" t="s">
        <v>270</v>
      </c>
      <c r="B150" s="160">
        <v>1</v>
      </c>
      <c r="C150" s="161">
        <f>+Лист4!$C$11</f>
        <v>7914100</v>
      </c>
      <c r="D150" s="162">
        <f>+B150*Лист4!$C$11</f>
        <v>7914100</v>
      </c>
      <c r="E150" s="163">
        <v>13</v>
      </c>
      <c r="F150" s="164" t="s">
        <v>34</v>
      </c>
      <c r="G150" s="189" t="s">
        <v>35</v>
      </c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</row>
    <row r="151" spans="1:36" x14ac:dyDescent="0.35">
      <c r="A151" s="187" t="s">
        <v>131</v>
      </c>
      <c r="B151" s="160">
        <v>1</v>
      </c>
      <c r="C151" s="161">
        <f>+Лист4!$C$8</f>
        <v>6524600</v>
      </c>
      <c r="D151" s="162">
        <f>+B151*Лист4!$C$8</f>
        <v>6524600</v>
      </c>
      <c r="E151" s="163">
        <v>10</v>
      </c>
      <c r="F151" s="164" t="s">
        <v>37</v>
      </c>
      <c r="G151" s="208" t="s">
        <v>34</v>
      </c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</row>
    <row r="152" spans="1:36" x14ac:dyDescent="0.35">
      <c r="A152" s="187" t="s">
        <v>131</v>
      </c>
      <c r="B152" s="160">
        <v>1</v>
      </c>
      <c r="C152" s="161">
        <f>+Лист4!$C$8</f>
        <v>6524600</v>
      </c>
      <c r="D152" s="162">
        <f>+B152*Лист4!$C$8</f>
        <v>6524600</v>
      </c>
      <c r="E152" s="163">
        <v>10</v>
      </c>
      <c r="F152" s="164" t="s">
        <v>350</v>
      </c>
      <c r="G152" s="208" t="s">
        <v>37</v>
      </c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</row>
    <row r="153" spans="1:36" x14ac:dyDescent="0.35">
      <c r="A153" s="187" t="s">
        <v>131</v>
      </c>
      <c r="B153" s="160">
        <v>1</v>
      </c>
      <c r="C153" s="161">
        <f>+Лист4!$C$8</f>
        <v>6524600</v>
      </c>
      <c r="D153" s="162">
        <f>+B153*Лист4!$C$8</f>
        <v>6524600</v>
      </c>
      <c r="E153" s="163">
        <v>10</v>
      </c>
      <c r="F153" s="164" t="s">
        <v>36</v>
      </c>
      <c r="G153" s="208" t="s">
        <v>350</v>
      </c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</row>
    <row r="154" spans="1:36" x14ac:dyDescent="0.35">
      <c r="A154" s="187" t="s">
        <v>131</v>
      </c>
      <c r="B154" s="160">
        <v>1</v>
      </c>
      <c r="C154" s="161">
        <f>+Лист4!$C$8</f>
        <v>6524600</v>
      </c>
      <c r="D154" s="162">
        <f>+B154*Лист4!$C$8</f>
        <v>6524600</v>
      </c>
      <c r="E154" s="163">
        <v>10</v>
      </c>
      <c r="F154" s="164" t="s">
        <v>351</v>
      </c>
      <c r="G154" s="208" t="s">
        <v>36</v>
      </c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</row>
    <row r="155" spans="1:36" x14ac:dyDescent="0.35">
      <c r="A155" s="187" t="s">
        <v>131</v>
      </c>
      <c r="B155" s="160">
        <v>1</v>
      </c>
      <c r="C155" s="161">
        <f>+Лист4!$C$8</f>
        <v>6524600</v>
      </c>
      <c r="D155" s="162">
        <f>+B155*Лист4!$C$8</f>
        <v>6524600</v>
      </c>
      <c r="E155" s="163">
        <v>10</v>
      </c>
      <c r="F155" s="164" t="s">
        <v>39</v>
      </c>
      <c r="G155" s="208" t="s">
        <v>351</v>
      </c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</row>
    <row r="156" spans="1:36" x14ac:dyDescent="0.35">
      <c r="A156" s="187" t="s">
        <v>131</v>
      </c>
      <c r="B156" s="160">
        <v>1</v>
      </c>
      <c r="C156" s="161">
        <f>+Лист4!$C$8</f>
        <v>6524600</v>
      </c>
      <c r="D156" s="162">
        <f>+B156*Лист4!$C$8</f>
        <v>6524600</v>
      </c>
      <c r="E156" s="163">
        <v>10</v>
      </c>
      <c r="F156" s="164" t="s">
        <v>40</v>
      </c>
      <c r="G156" s="208" t="s">
        <v>404</v>
      </c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</row>
    <row r="157" spans="1:36" x14ac:dyDescent="0.35">
      <c r="A157" s="187" t="s">
        <v>131</v>
      </c>
      <c r="B157" s="160">
        <v>1</v>
      </c>
      <c r="C157" s="161">
        <f>+Лист4!$C$8</f>
        <v>6524600</v>
      </c>
      <c r="D157" s="162">
        <f>+B157*Лист4!$C$8</f>
        <v>6524600</v>
      </c>
      <c r="E157" s="163">
        <v>10</v>
      </c>
      <c r="F157" s="164" t="s">
        <v>41</v>
      </c>
      <c r="G157" s="208" t="s">
        <v>40</v>
      </c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</row>
    <row r="158" spans="1:36" x14ac:dyDescent="0.35">
      <c r="A158" s="187" t="s">
        <v>131</v>
      </c>
      <c r="B158" s="160">
        <v>1</v>
      </c>
      <c r="C158" s="161">
        <f>+Лист4!$C$8</f>
        <v>6524600</v>
      </c>
      <c r="D158" s="162">
        <f>+B158*Лист4!$C$8</f>
        <v>6524600</v>
      </c>
      <c r="E158" s="163">
        <v>10</v>
      </c>
      <c r="F158" s="164" t="s">
        <v>254</v>
      </c>
      <c r="G158" s="208" t="s">
        <v>41</v>
      </c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</row>
    <row r="159" spans="1:36" x14ac:dyDescent="0.35">
      <c r="A159" s="187" t="s">
        <v>131</v>
      </c>
      <c r="B159" s="160">
        <v>1</v>
      </c>
      <c r="C159" s="161">
        <f>+Лист4!$C$8</f>
        <v>6524600</v>
      </c>
      <c r="D159" s="162">
        <f>+B159*Лист4!$C$8</f>
        <v>6524600</v>
      </c>
      <c r="E159" s="163">
        <v>10</v>
      </c>
      <c r="F159" s="164" t="s">
        <v>42</v>
      </c>
      <c r="G159" s="208" t="s">
        <v>254</v>
      </c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</row>
    <row r="160" spans="1:36" x14ac:dyDescent="0.35">
      <c r="A160" s="187" t="s">
        <v>131</v>
      </c>
      <c r="B160" s="160">
        <v>1</v>
      </c>
      <c r="C160" s="161">
        <f>+Лист4!$C$8</f>
        <v>6524600</v>
      </c>
      <c r="D160" s="162">
        <f>+B160*Лист4!$C$8</f>
        <v>6524600</v>
      </c>
      <c r="E160" s="163">
        <v>10</v>
      </c>
      <c r="F160" s="164" t="s">
        <v>43</v>
      </c>
      <c r="G160" s="208" t="s">
        <v>42</v>
      </c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</row>
    <row r="161" spans="1:36" x14ac:dyDescent="0.35">
      <c r="A161" s="187" t="s">
        <v>131</v>
      </c>
      <c r="B161" s="160">
        <v>1</v>
      </c>
      <c r="C161" s="161">
        <f>+Лист4!$C$8</f>
        <v>6524600</v>
      </c>
      <c r="D161" s="162">
        <f>+B161*Лист4!$C$8</f>
        <v>6524600</v>
      </c>
      <c r="E161" s="163">
        <v>10</v>
      </c>
      <c r="F161" s="164" t="s">
        <v>44</v>
      </c>
      <c r="G161" s="208" t="s">
        <v>43</v>
      </c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</row>
    <row r="162" spans="1:36" x14ac:dyDescent="0.35">
      <c r="A162" s="187" t="s">
        <v>131</v>
      </c>
      <c r="B162" s="160">
        <v>1</v>
      </c>
      <c r="C162" s="161">
        <f>+Лист4!$C$8</f>
        <v>6524600</v>
      </c>
      <c r="D162" s="162">
        <f>+B162*Лист4!$C$8</f>
        <v>6524600</v>
      </c>
      <c r="E162" s="163">
        <v>10</v>
      </c>
      <c r="F162" s="164" t="s">
        <v>45</v>
      </c>
      <c r="G162" s="208" t="s">
        <v>44</v>
      </c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</row>
    <row r="163" spans="1:36" x14ac:dyDescent="0.35">
      <c r="A163" s="187" t="s">
        <v>131</v>
      </c>
      <c r="B163" s="160">
        <v>1</v>
      </c>
      <c r="C163" s="161">
        <f>+Лист4!$C$8</f>
        <v>6524600</v>
      </c>
      <c r="D163" s="162">
        <f>+B163*Лист4!$C$8</f>
        <v>6524600</v>
      </c>
      <c r="E163" s="163">
        <v>10</v>
      </c>
      <c r="F163" s="164" t="s">
        <v>46</v>
      </c>
      <c r="G163" s="208" t="s">
        <v>45</v>
      </c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</row>
    <row r="164" spans="1:36" x14ac:dyDescent="0.35">
      <c r="A164" s="187" t="s">
        <v>131</v>
      </c>
      <c r="B164" s="160">
        <v>1</v>
      </c>
      <c r="C164" s="161">
        <f>+Лист4!$C$8</f>
        <v>6524600</v>
      </c>
      <c r="D164" s="162">
        <f>+B164*Лист4!$C$8</f>
        <v>6524600</v>
      </c>
      <c r="E164" s="163">
        <v>10</v>
      </c>
      <c r="F164" s="164"/>
      <c r="G164" s="208" t="s">
        <v>46</v>
      </c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</row>
    <row r="165" spans="1:36" s="170" customFormat="1" x14ac:dyDescent="0.35">
      <c r="A165" s="194" t="s">
        <v>5</v>
      </c>
      <c r="B165" s="165">
        <f>SUM(B150:B164)</f>
        <v>15</v>
      </c>
      <c r="C165" s="165"/>
      <c r="D165" s="166">
        <f>SUM(D150:D164)</f>
        <v>99258500</v>
      </c>
      <c r="E165" s="167"/>
      <c r="F165" s="164"/>
      <c r="G165" s="197"/>
    </row>
    <row r="166" spans="1:36" x14ac:dyDescent="0.35">
      <c r="A166" s="190" t="s">
        <v>378</v>
      </c>
      <c r="B166" s="160"/>
      <c r="C166" s="160"/>
      <c r="D166" s="162"/>
      <c r="E166" s="163"/>
      <c r="F166" s="164"/>
      <c r="G166" s="183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</row>
    <row r="167" spans="1:36" x14ac:dyDescent="0.35">
      <c r="A167" s="187" t="s">
        <v>301</v>
      </c>
      <c r="B167" s="160">
        <v>1</v>
      </c>
      <c r="C167" s="161">
        <f>+Лист4!$C$13</f>
        <v>8388800</v>
      </c>
      <c r="D167" s="162">
        <f>+B167*Лист4!$C$13</f>
        <v>8388800</v>
      </c>
      <c r="E167" s="163">
        <v>14</v>
      </c>
      <c r="F167" s="164"/>
      <c r="G167" s="183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</row>
    <row r="168" spans="1:36" x14ac:dyDescent="0.35">
      <c r="A168" s="187" t="s">
        <v>52</v>
      </c>
      <c r="B168" s="160">
        <v>1</v>
      </c>
      <c r="C168" s="161">
        <f>+Лист4!$C$9</f>
        <v>6978500</v>
      </c>
      <c r="D168" s="162">
        <f>+B168*Лист4!$C$9</f>
        <v>6978500</v>
      </c>
      <c r="E168" s="163">
        <v>11</v>
      </c>
      <c r="F168" s="164"/>
      <c r="G168" s="183"/>
    </row>
    <row r="169" spans="1:36" x14ac:dyDescent="0.35">
      <c r="A169" s="187" t="s">
        <v>52</v>
      </c>
      <c r="B169" s="160">
        <v>1</v>
      </c>
      <c r="C169" s="161">
        <f>+Лист4!$C$9</f>
        <v>6978500</v>
      </c>
      <c r="D169" s="162">
        <f>+B169*Лист4!$C$9</f>
        <v>6978500</v>
      </c>
      <c r="E169" s="163">
        <v>11</v>
      </c>
      <c r="F169" s="164"/>
      <c r="G169" s="183"/>
    </row>
    <row r="170" spans="1:36" x14ac:dyDescent="0.35">
      <c r="A170" s="187" t="s">
        <v>52</v>
      </c>
      <c r="B170" s="160">
        <v>1</v>
      </c>
      <c r="C170" s="161">
        <f>+Лист4!$C$9</f>
        <v>6978500</v>
      </c>
      <c r="D170" s="162">
        <f>+B170*Лист4!$C$9</f>
        <v>6978500</v>
      </c>
      <c r="E170" s="163">
        <v>11</v>
      </c>
      <c r="F170" s="164"/>
      <c r="G170" s="189" t="s">
        <v>20</v>
      </c>
    </row>
    <row r="171" spans="1:36" x14ac:dyDescent="0.35">
      <c r="A171" s="187" t="s">
        <v>52</v>
      </c>
      <c r="B171" s="160">
        <v>1</v>
      </c>
      <c r="C171" s="161">
        <f>+Лист4!$C$9</f>
        <v>6978500</v>
      </c>
      <c r="D171" s="162">
        <f>+B171*Лист4!$C$9</f>
        <v>6978500</v>
      </c>
      <c r="E171" s="163">
        <v>11</v>
      </c>
      <c r="F171" s="164"/>
      <c r="G171" s="189" t="s">
        <v>50</v>
      </c>
    </row>
    <row r="172" spans="1:36" x14ac:dyDescent="0.35">
      <c r="A172" s="187" t="s">
        <v>131</v>
      </c>
      <c r="B172" s="160">
        <v>1</v>
      </c>
      <c r="C172" s="161">
        <f>+Лист4!$C$8</f>
        <v>6524600</v>
      </c>
      <c r="D172" s="162">
        <f>+B172*Лист4!$C$8</f>
        <v>6524600</v>
      </c>
      <c r="E172" s="163">
        <v>10</v>
      </c>
      <c r="F172" s="164"/>
      <c r="G172" s="215" t="s">
        <v>59</v>
      </c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</row>
    <row r="173" spans="1:36" x14ac:dyDescent="0.35">
      <c r="A173" s="187" t="s">
        <v>197</v>
      </c>
      <c r="B173" s="160">
        <v>1</v>
      </c>
      <c r="C173" s="161">
        <f>+Лист4!$C$7</f>
        <v>6081100</v>
      </c>
      <c r="D173" s="162">
        <f>+B173*Лист4!$C$7</f>
        <v>6081100</v>
      </c>
      <c r="E173" s="163">
        <v>9</v>
      </c>
      <c r="F173" s="164"/>
      <c r="G173" s="189" t="s">
        <v>55</v>
      </c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</row>
    <row r="174" spans="1:36" ht="21" x14ac:dyDescent="0.4">
      <c r="A174" s="241" t="s">
        <v>197</v>
      </c>
      <c r="B174" s="245">
        <v>1</v>
      </c>
      <c r="C174" s="161"/>
      <c r="D174" s="247">
        <f>+B174*Лист4!$C$7</f>
        <v>6081100</v>
      </c>
      <c r="E174" s="249">
        <v>9</v>
      </c>
      <c r="F174" s="164"/>
      <c r="G174" s="143" t="s">
        <v>430</v>
      </c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</row>
    <row r="175" spans="1:36" ht="21" x14ac:dyDescent="0.4">
      <c r="A175" s="242"/>
      <c r="B175" s="256"/>
      <c r="C175" s="161">
        <f>+Лист4!$C$7</f>
        <v>6081100</v>
      </c>
      <c r="D175" s="257"/>
      <c r="E175" s="258"/>
      <c r="F175" s="164"/>
      <c r="G175" s="143" t="s">
        <v>431</v>
      </c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</row>
    <row r="176" spans="1:36" x14ac:dyDescent="0.35">
      <c r="A176" s="187" t="s">
        <v>134</v>
      </c>
      <c r="B176" s="160">
        <v>1</v>
      </c>
      <c r="C176" s="161">
        <f>+Лист4!$C$6</f>
        <v>5648000</v>
      </c>
      <c r="D176" s="162">
        <f>+Лист4!$C$6*'liast----'!B176</f>
        <v>5648000</v>
      </c>
      <c r="E176" s="163">
        <v>8</v>
      </c>
      <c r="F176" s="164"/>
      <c r="G176" s="183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</row>
    <row r="177" spans="1:36" x14ac:dyDescent="0.35">
      <c r="A177" s="220" t="s">
        <v>134</v>
      </c>
      <c r="B177" s="213">
        <v>1</v>
      </c>
      <c r="C177" s="161"/>
      <c r="D177" s="211">
        <f>+Лист4!$C$6*'liast----'!B177</f>
        <v>5648000</v>
      </c>
      <c r="E177" s="219">
        <v>8</v>
      </c>
      <c r="F177" s="164"/>
      <c r="G177" s="212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</row>
    <row r="178" spans="1:36" s="170" customFormat="1" x14ac:dyDescent="0.35">
      <c r="A178" s="194" t="s">
        <v>5</v>
      </c>
      <c r="B178" s="165">
        <f>SUM(B167:B177)</f>
        <v>10</v>
      </c>
      <c r="C178" s="165"/>
      <c r="D178" s="166">
        <f>SUM(D167:D177)</f>
        <v>66285600</v>
      </c>
      <c r="E178" s="167"/>
      <c r="F178" s="164"/>
      <c r="G178" s="197"/>
    </row>
    <row r="179" spans="1:36" x14ac:dyDescent="0.35">
      <c r="A179" s="196" t="s">
        <v>422</v>
      </c>
      <c r="B179" s="160"/>
      <c r="C179" s="160"/>
      <c r="D179" s="162"/>
      <c r="E179" s="163"/>
      <c r="F179" s="164"/>
      <c r="G179" s="183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</row>
    <row r="180" spans="1:36" x14ac:dyDescent="0.35">
      <c r="A180" s="187" t="s">
        <v>302</v>
      </c>
      <c r="B180" s="160">
        <v>1</v>
      </c>
      <c r="C180" s="161">
        <f>+Лист4!$C$10</f>
        <v>7442800</v>
      </c>
      <c r="D180" s="162">
        <f>+B180*Лист4!$C$10</f>
        <v>7442800</v>
      </c>
      <c r="E180" s="163">
        <v>12</v>
      </c>
      <c r="F180" s="164" t="s">
        <v>51</v>
      </c>
      <c r="G180" s="208" t="s">
        <v>51</v>
      </c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</row>
    <row r="181" spans="1:36" x14ac:dyDescent="0.35">
      <c r="A181" s="187" t="s">
        <v>134</v>
      </c>
      <c r="B181" s="160">
        <v>1</v>
      </c>
      <c r="C181" s="161">
        <f>+Лист4!$C$6</f>
        <v>5648000</v>
      </c>
      <c r="D181" s="162">
        <f>+Лист4!$C$6*'liast----'!B181</f>
        <v>5648000</v>
      </c>
      <c r="E181" s="163">
        <v>8</v>
      </c>
      <c r="F181" s="164"/>
      <c r="G181" s="208" t="s">
        <v>54</v>
      </c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</row>
    <row r="182" spans="1:36" s="170" customFormat="1" x14ac:dyDescent="0.35">
      <c r="A182" s="194" t="s">
        <v>5</v>
      </c>
      <c r="B182" s="165">
        <f>SUM(B180:B181)</f>
        <v>2</v>
      </c>
      <c r="C182" s="165"/>
      <c r="D182" s="166">
        <f>SUM(D180:D181)</f>
        <v>13090800</v>
      </c>
      <c r="E182" s="167"/>
      <c r="F182" s="164"/>
      <c r="G182" s="197"/>
    </row>
    <row r="183" spans="1:36" x14ac:dyDescent="0.35">
      <c r="A183" s="190" t="s">
        <v>380</v>
      </c>
      <c r="B183" s="160"/>
      <c r="C183" s="160"/>
      <c r="D183" s="162"/>
      <c r="E183" s="163"/>
      <c r="F183" s="164"/>
      <c r="G183" s="183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</row>
    <row r="184" spans="1:36" x14ac:dyDescent="0.35">
      <c r="A184" s="187" t="s">
        <v>15</v>
      </c>
      <c r="B184" s="160">
        <v>1</v>
      </c>
      <c r="C184" s="161">
        <f>+Лист4!$C$10</f>
        <v>7442800</v>
      </c>
      <c r="D184" s="162">
        <f>+B184*Лист4!$C$11</f>
        <v>7914100</v>
      </c>
      <c r="E184" s="163">
        <v>13</v>
      </c>
      <c r="F184" s="164" t="s">
        <v>17</v>
      </c>
      <c r="G184" s="208" t="s">
        <v>17</v>
      </c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</row>
    <row r="185" spans="1:36" x14ac:dyDescent="0.35">
      <c r="A185" s="187" t="s">
        <v>23</v>
      </c>
      <c r="B185" s="160">
        <v>1</v>
      </c>
      <c r="C185" s="161">
        <f>+Лист4!$C$10</f>
        <v>7442800</v>
      </c>
      <c r="D185" s="162">
        <f>+B185*Лист4!$C$10</f>
        <v>7442800</v>
      </c>
      <c r="E185" s="163">
        <v>12</v>
      </c>
      <c r="F185" s="164" t="s">
        <v>237</v>
      </c>
      <c r="G185" s="208" t="s">
        <v>237</v>
      </c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</row>
    <row r="186" spans="1:36" x14ac:dyDescent="0.35">
      <c r="A186" s="187" t="s">
        <v>52</v>
      </c>
      <c r="B186" s="160">
        <v>1</v>
      </c>
      <c r="C186" s="161">
        <f>+Лист4!$C$9</f>
        <v>6978500</v>
      </c>
      <c r="D186" s="162">
        <f>+B186*Лист4!$C$9</f>
        <v>6978500</v>
      </c>
      <c r="E186" s="160">
        <v>11</v>
      </c>
      <c r="F186" s="164" t="s">
        <v>18</v>
      </c>
      <c r="G186" s="208" t="s">
        <v>258</v>
      </c>
    </row>
    <row r="187" spans="1:36" x14ac:dyDescent="0.35">
      <c r="A187" s="187" t="s">
        <v>131</v>
      </c>
      <c r="B187" s="160">
        <v>1</v>
      </c>
      <c r="C187" s="161">
        <f>+Лист4!$C$8</f>
        <v>6524600</v>
      </c>
      <c r="D187" s="162">
        <f>+B187*Лист4!$C$8</f>
        <v>6524600</v>
      </c>
      <c r="E187" s="163">
        <v>10</v>
      </c>
      <c r="F187" s="164" t="s">
        <v>258</v>
      </c>
      <c r="G187" s="208" t="s">
        <v>18</v>
      </c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</row>
    <row r="188" spans="1:36" x14ac:dyDescent="0.35">
      <c r="A188" s="187" t="s">
        <v>197</v>
      </c>
      <c r="B188" s="160">
        <v>1</v>
      </c>
      <c r="C188" s="161">
        <f>+Лист4!$C$7</f>
        <v>6081100</v>
      </c>
      <c r="D188" s="162">
        <f>+B188*Лист4!$C$7</f>
        <v>6081100</v>
      </c>
      <c r="E188" s="163">
        <v>9</v>
      </c>
      <c r="F188" s="164" t="s">
        <v>352</v>
      </c>
      <c r="G188" s="208" t="s">
        <v>405</v>
      </c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</row>
    <row r="189" spans="1:36" s="170" customFormat="1" x14ac:dyDescent="0.35">
      <c r="A189" s="194" t="s">
        <v>5</v>
      </c>
      <c r="B189" s="165">
        <f>SUM(B184:B188)</f>
        <v>5</v>
      </c>
      <c r="C189" s="165"/>
      <c r="D189" s="166">
        <f>SUM(D184:D188)</f>
        <v>34941100</v>
      </c>
      <c r="E189" s="167"/>
      <c r="F189" s="164"/>
      <c r="G189" s="197"/>
    </row>
    <row r="190" spans="1:36" s="170" customFormat="1" x14ac:dyDescent="0.35">
      <c r="A190" s="190" t="s">
        <v>381</v>
      </c>
      <c r="B190" s="165"/>
      <c r="C190" s="165"/>
      <c r="D190" s="166"/>
      <c r="E190" s="167"/>
      <c r="F190" s="164"/>
      <c r="G190" s="197"/>
    </row>
    <row r="191" spans="1:36" s="170" customFormat="1" x14ac:dyDescent="0.35">
      <c r="A191" s="194" t="s">
        <v>354</v>
      </c>
      <c r="B191" s="165">
        <v>1</v>
      </c>
      <c r="C191" s="168">
        <f>+Лист4!$C$13</f>
        <v>8388800</v>
      </c>
      <c r="D191" s="166">
        <f>+B191*Лист4!$C$13</f>
        <v>8388800</v>
      </c>
      <c r="E191" s="167">
        <v>14</v>
      </c>
      <c r="F191" s="164"/>
      <c r="G191" s="200" t="s">
        <v>407</v>
      </c>
    </row>
    <row r="192" spans="1:36" s="170" customFormat="1" x14ac:dyDescent="0.35">
      <c r="A192" s="196" t="s">
        <v>382</v>
      </c>
      <c r="B192" s="165"/>
      <c r="C192" s="165"/>
      <c r="D192" s="166"/>
      <c r="E192" s="167"/>
      <c r="F192" s="164"/>
      <c r="G192" s="197"/>
    </row>
    <row r="193" spans="1:36" s="170" customFormat="1" x14ac:dyDescent="0.35">
      <c r="A193" s="187" t="s">
        <v>15</v>
      </c>
      <c r="B193" s="160">
        <v>1</v>
      </c>
      <c r="C193" s="161">
        <f>+Лист4!$C$10</f>
        <v>7442800</v>
      </c>
      <c r="D193" s="162">
        <f>+B193*Лист4!$C$11</f>
        <v>7914100</v>
      </c>
      <c r="E193" s="163">
        <v>13</v>
      </c>
      <c r="F193" s="164"/>
      <c r="G193" s="223" t="s">
        <v>110</v>
      </c>
    </row>
    <row r="194" spans="1:36" s="170" customFormat="1" x14ac:dyDescent="0.35">
      <c r="A194" s="187" t="s">
        <v>131</v>
      </c>
      <c r="B194" s="160">
        <v>1</v>
      </c>
      <c r="C194" s="161">
        <f>+Лист4!$C$8</f>
        <v>6524600</v>
      </c>
      <c r="D194" s="162">
        <f>+B194*Лист4!$C$8</f>
        <v>6524600</v>
      </c>
      <c r="E194" s="163">
        <v>10</v>
      </c>
      <c r="F194" s="164"/>
      <c r="G194" s="208" t="s">
        <v>433</v>
      </c>
    </row>
    <row r="195" spans="1:36" s="170" customFormat="1" x14ac:dyDescent="0.35">
      <c r="A195" s="187" t="s">
        <v>131</v>
      </c>
      <c r="B195" s="160">
        <v>1</v>
      </c>
      <c r="C195" s="161">
        <f>+Лист4!$C$8</f>
        <v>6524600</v>
      </c>
      <c r="D195" s="162">
        <f>+B195*Лист4!$C$8</f>
        <v>6524600</v>
      </c>
      <c r="E195" s="163">
        <v>10</v>
      </c>
      <c r="F195" s="164"/>
      <c r="G195" s="223" t="s">
        <v>153</v>
      </c>
    </row>
    <row r="196" spans="1:36" s="170" customFormat="1" x14ac:dyDescent="0.35">
      <c r="A196" s="187" t="s">
        <v>197</v>
      </c>
      <c r="B196" s="160">
        <v>1</v>
      </c>
      <c r="C196" s="161">
        <f>+Лист4!$C$7</f>
        <v>6081100</v>
      </c>
      <c r="D196" s="162">
        <f>+B196*Лист4!$C$7</f>
        <v>6081100</v>
      </c>
      <c r="E196" s="163">
        <v>9</v>
      </c>
      <c r="F196" s="164"/>
      <c r="G196" s="223" t="s">
        <v>66</v>
      </c>
    </row>
    <row r="197" spans="1:36" s="170" customFormat="1" x14ac:dyDescent="0.35">
      <c r="A197" s="187" t="s">
        <v>134</v>
      </c>
      <c r="B197" s="160">
        <v>1</v>
      </c>
      <c r="C197" s="161">
        <f>+Лист4!$C$6</f>
        <v>5648000</v>
      </c>
      <c r="D197" s="162">
        <f>+Лист4!$C$6*'liast----'!B197</f>
        <v>5648000</v>
      </c>
      <c r="E197" s="163">
        <v>8</v>
      </c>
      <c r="F197" s="164"/>
      <c r="G197" s="223" t="s">
        <v>108</v>
      </c>
    </row>
    <row r="198" spans="1:36" s="170" customFormat="1" x14ac:dyDescent="0.35">
      <c r="A198" s="194" t="s">
        <v>5</v>
      </c>
      <c r="B198" s="165">
        <f>SUM(B193:B197)</f>
        <v>5</v>
      </c>
      <c r="C198" s="165"/>
      <c r="D198" s="166">
        <f>SUM(D193:D197)</f>
        <v>32692400</v>
      </c>
      <c r="E198" s="167"/>
      <c r="F198" s="164"/>
      <c r="G198" s="197"/>
    </row>
    <row r="199" spans="1:36" s="170" customFormat="1" x14ac:dyDescent="0.35">
      <c r="A199" s="195" t="s">
        <v>383</v>
      </c>
      <c r="B199" s="165"/>
      <c r="C199" s="165"/>
      <c r="D199" s="166"/>
      <c r="E199" s="167"/>
      <c r="F199" s="164"/>
      <c r="G199" s="197"/>
    </row>
    <row r="200" spans="1:36" s="170" customFormat="1" x14ac:dyDescent="0.35">
      <c r="A200" s="187" t="s">
        <v>307</v>
      </c>
      <c r="B200" s="160">
        <v>1</v>
      </c>
      <c r="C200" s="161">
        <f>+Лист4!$C$10</f>
        <v>7442800</v>
      </c>
      <c r="D200" s="162">
        <f>+B200*Лист4!$C$10</f>
        <v>7442800</v>
      </c>
      <c r="E200" s="163">
        <v>12</v>
      </c>
      <c r="F200" s="164"/>
      <c r="G200" s="189" t="s">
        <v>402</v>
      </c>
    </row>
    <row r="201" spans="1:36" s="170" customFormat="1" x14ac:dyDescent="0.35">
      <c r="A201" s="243" t="s">
        <v>52</v>
      </c>
      <c r="B201" s="245">
        <v>1</v>
      </c>
      <c r="C201" s="161"/>
      <c r="D201" s="247">
        <f>+B201*Лист4!$C$9</f>
        <v>6978500</v>
      </c>
      <c r="E201" s="249">
        <v>11</v>
      </c>
      <c r="F201" s="164"/>
      <c r="G201" s="189" t="s">
        <v>413</v>
      </c>
    </row>
    <row r="202" spans="1:36" s="170" customFormat="1" x14ac:dyDescent="0.35">
      <c r="A202" s="244"/>
      <c r="B202" s="246"/>
      <c r="C202" s="161">
        <f>+Лист4!$C$9</f>
        <v>6978500</v>
      </c>
      <c r="D202" s="248"/>
      <c r="E202" s="250"/>
      <c r="F202" s="164"/>
      <c r="G202" s="170" t="s">
        <v>434</v>
      </c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</row>
    <row r="203" spans="1:36" s="170" customFormat="1" x14ac:dyDescent="0.35">
      <c r="A203" s="187" t="s">
        <v>131</v>
      </c>
      <c r="B203" s="160">
        <v>1</v>
      </c>
      <c r="C203" s="161">
        <f>+Лист4!$C$8</f>
        <v>6524600</v>
      </c>
      <c r="D203" s="162">
        <f>+B203*Лист4!$C$8</f>
        <v>6524600</v>
      </c>
      <c r="E203" s="163">
        <v>10</v>
      </c>
      <c r="F203" s="164"/>
      <c r="G203" s="214" t="s">
        <v>409</v>
      </c>
    </row>
    <row r="204" spans="1:36" x14ac:dyDescent="0.35">
      <c r="A204" s="194" t="s">
        <v>5</v>
      </c>
      <c r="B204" s="165">
        <f>SUM(B200:B203)</f>
        <v>3</v>
      </c>
      <c r="C204" s="165"/>
      <c r="D204" s="166">
        <f>SUM(D200:D203)</f>
        <v>20945900</v>
      </c>
      <c r="E204" s="163"/>
      <c r="F204" s="164"/>
      <c r="G204" s="183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</row>
    <row r="205" spans="1:36" s="170" customFormat="1" x14ac:dyDescent="0.35">
      <c r="A205" s="196" t="s">
        <v>384</v>
      </c>
      <c r="B205" s="165"/>
      <c r="C205" s="165"/>
      <c r="D205" s="166"/>
      <c r="E205" s="167"/>
      <c r="F205" s="164"/>
      <c r="G205" s="197"/>
    </row>
    <row r="206" spans="1:36" s="170" customFormat="1" x14ac:dyDescent="0.35">
      <c r="A206" s="187" t="s">
        <v>15</v>
      </c>
      <c r="B206" s="160">
        <v>1</v>
      </c>
      <c r="C206" s="161">
        <f>+Лист4!$C$11</f>
        <v>7914100</v>
      </c>
      <c r="D206" s="162">
        <f>+B206*Лист4!$C$11</f>
        <v>7914100</v>
      </c>
      <c r="E206" s="163">
        <v>13</v>
      </c>
      <c r="F206" s="164"/>
      <c r="G206" s="208" t="s">
        <v>109</v>
      </c>
    </row>
    <row r="207" spans="1:36" s="170" customFormat="1" x14ac:dyDescent="0.35">
      <c r="A207" s="187" t="s">
        <v>52</v>
      </c>
      <c r="B207" s="160">
        <v>1</v>
      </c>
      <c r="C207" s="161">
        <f>+Лист4!$C$9</f>
        <v>6978500</v>
      </c>
      <c r="D207" s="162">
        <f>+B207*Лист4!$C$9</f>
        <v>6978500</v>
      </c>
      <c r="E207" s="163">
        <v>11</v>
      </c>
      <c r="F207" s="164"/>
      <c r="G207" s="208" t="s">
        <v>106</v>
      </c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</row>
    <row r="208" spans="1:36" s="170" customFormat="1" x14ac:dyDescent="0.35">
      <c r="A208" s="187" t="s">
        <v>131</v>
      </c>
      <c r="B208" s="160">
        <v>1</v>
      </c>
      <c r="C208" s="161">
        <f>+Лист4!$C$8</f>
        <v>6524600</v>
      </c>
      <c r="D208" s="162">
        <f>+B208*Лист4!$C$8</f>
        <v>6524600</v>
      </c>
      <c r="E208" s="163">
        <v>10</v>
      </c>
      <c r="F208" s="164"/>
      <c r="G208" s="208" t="s">
        <v>407</v>
      </c>
    </row>
    <row r="209" spans="1:36" s="170" customFormat="1" x14ac:dyDescent="0.35">
      <c r="A209" s="194" t="s">
        <v>5</v>
      </c>
      <c r="B209" s="165">
        <f>SUM(B206:B208)</f>
        <v>3</v>
      </c>
      <c r="C209" s="165"/>
      <c r="D209" s="166">
        <f>SUM(D206:D208)</f>
        <v>21417200</v>
      </c>
      <c r="E209" s="167"/>
      <c r="F209" s="164"/>
      <c r="G209" s="197"/>
    </row>
    <row r="210" spans="1:36" s="170" customFormat="1" x14ac:dyDescent="0.35">
      <c r="A210" s="195" t="s">
        <v>385</v>
      </c>
      <c r="B210" s="165"/>
      <c r="C210" s="165"/>
      <c r="D210" s="166"/>
      <c r="E210" s="167"/>
      <c r="F210" s="164"/>
      <c r="G210" s="197"/>
    </row>
    <row r="211" spans="1:36" s="170" customFormat="1" x14ac:dyDescent="0.35">
      <c r="A211" s="187" t="s">
        <v>15</v>
      </c>
      <c r="B211" s="160">
        <v>1</v>
      </c>
      <c r="C211" s="161">
        <f>+Лист4!$C$11</f>
        <v>7914100</v>
      </c>
      <c r="D211" s="162">
        <f>+B211*Лист4!$C$11</f>
        <v>7914100</v>
      </c>
      <c r="E211" s="163">
        <v>13</v>
      </c>
      <c r="F211" s="164"/>
      <c r="G211" s="208" t="s">
        <v>118</v>
      </c>
    </row>
    <row r="212" spans="1:36" s="170" customFormat="1" x14ac:dyDescent="0.35">
      <c r="A212" s="187" t="s">
        <v>52</v>
      </c>
      <c r="B212" s="160">
        <v>1</v>
      </c>
      <c r="C212" s="161">
        <f>+Лист4!$C$9</f>
        <v>6978500</v>
      </c>
      <c r="D212" s="162">
        <f>+B212*Лист4!$C$9</f>
        <v>6978500</v>
      </c>
      <c r="E212" s="163">
        <v>11</v>
      </c>
      <c r="F212" s="164"/>
      <c r="G212" s="200" t="s">
        <v>9</v>
      </c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</row>
    <row r="213" spans="1:36" s="170" customFormat="1" x14ac:dyDescent="0.35">
      <c r="A213" s="187" t="s">
        <v>131</v>
      </c>
      <c r="B213" s="160">
        <v>1</v>
      </c>
      <c r="C213" s="161">
        <f>+Лист4!$C$8</f>
        <v>6524600</v>
      </c>
      <c r="D213" s="162">
        <f>+B213*Лист4!$C$8</f>
        <v>6524600</v>
      </c>
      <c r="E213" s="163">
        <v>10</v>
      </c>
      <c r="F213" s="164"/>
      <c r="G213" s="200" t="s">
        <v>9</v>
      </c>
    </row>
    <row r="214" spans="1:36" s="170" customFormat="1" x14ac:dyDescent="0.35">
      <c r="A214" s="187" t="s">
        <v>131</v>
      </c>
      <c r="B214" s="160">
        <v>1</v>
      </c>
      <c r="C214" s="161">
        <v>6524600</v>
      </c>
      <c r="D214" s="162">
        <v>6524600</v>
      </c>
      <c r="E214" s="163">
        <v>10</v>
      </c>
      <c r="F214" s="164"/>
      <c r="G214" s="200" t="s">
        <v>9</v>
      </c>
    </row>
    <row r="215" spans="1:36" s="170" customFormat="1" x14ac:dyDescent="0.35">
      <c r="A215" s="194" t="s">
        <v>5</v>
      </c>
      <c r="B215" s="165">
        <f>SUM(B211:B214)</f>
        <v>4</v>
      </c>
      <c r="C215" s="165"/>
      <c r="D215" s="166">
        <f>SUM(D211:D214)</f>
        <v>27941800</v>
      </c>
      <c r="E215" s="167"/>
      <c r="F215" s="164"/>
      <c r="G215" s="197"/>
    </row>
    <row r="216" spans="1:36" s="170" customFormat="1" x14ac:dyDescent="0.35">
      <c r="A216" s="195" t="s">
        <v>386</v>
      </c>
      <c r="B216" s="165"/>
      <c r="C216" s="165"/>
      <c r="D216" s="166"/>
      <c r="E216" s="167"/>
      <c r="F216" s="164"/>
      <c r="G216" s="197"/>
    </row>
    <row r="217" spans="1:36" s="170" customFormat="1" x14ac:dyDescent="0.35">
      <c r="A217" s="187" t="s">
        <v>15</v>
      </c>
      <c r="B217" s="160">
        <v>1</v>
      </c>
      <c r="C217" s="161">
        <f>+Лист4!$C$11</f>
        <v>7914100</v>
      </c>
      <c r="D217" s="162">
        <f>+B217*Лист4!$C$28</f>
        <v>5276000</v>
      </c>
      <c r="E217" s="163">
        <v>13</v>
      </c>
      <c r="F217" s="164"/>
      <c r="G217" s="221" t="s">
        <v>64</v>
      </c>
    </row>
    <row r="218" spans="1:36" s="170" customFormat="1" x14ac:dyDescent="0.35">
      <c r="A218" s="187" t="s">
        <v>52</v>
      </c>
      <c r="B218" s="160">
        <v>1</v>
      </c>
      <c r="C218" s="161">
        <f>+Лист4!$C$9</f>
        <v>6978500</v>
      </c>
      <c r="D218" s="162">
        <f>+B226*Лист4!C26</f>
        <v>4652300</v>
      </c>
      <c r="E218" s="163">
        <v>11</v>
      </c>
      <c r="F218" s="164"/>
      <c r="G218" s="221" t="s">
        <v>111</v>
      </c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</row>
    <row r="219" spans="1:36" s="170" customFormat="1" x14ac:dyDescent="0.35">
      <c r="A219" s="187" t="s">
        <v>131</v>
      </c>
      <c r="B219" s="160">
        <v>1</v>
      </c>
      <c r="C219" s="161">
        <f>+Лист4!$C$8</f>
        <v>6524600</v>
      </c>
      <c r="D219" s="162">
        <f>+B228*Лист4!$C$25</f>
        <v>4349700</v>
      </c>
      <c r="E219" s="163">
        <v>10</v>
      </c>
      <c r="F219" s="164"/>
      <c r="G219" s="221" t="s">
        <v>113</v>
      </c>
    </row>
    <row r="220" spans="1:36" s="170" customFormat="1" x14ac:dyDescent="0.35">
      <c r="A220" s="187" t="s">
        <v>197</v>
      </c>
      <c r="B220" s="160">
        <v>1</v>
      </c>
      <c r="C220" s="161">
        <f>+Лист4!$C$7</f>
        <v>6081100</v>
      </c>
      <c r="D220" s="162">
        <f>+$C$229</f>
        <v>4054100</v>
      </c>
      <c r="E220" s="163">
        <v>9</v>
      </c>
      <c r="F220" s="164"/>
      <c r="G220" s="221" t="s">
        <v>199</v>
      </c>
    </row>
    <row r="221" spans="1:36" s="170" customFormat="1" x14ac:dyDescent="0.35">
      <c r="A221" s="194" t="s">
        <v>5</v>
      </c>
      <c r="B221" s="165">
        <f>SUM(B217:B220)</f>
        <v>4</v>
      </c>
      <c r="C221" s="165"/>
      <c r="D221" s="166">
        <f>SUM(D217:D220)</f>
        <v>18332100</v>
      </c>
      <c r="E221" s="167"/>
      <c r="F221" s="164"/>
      <c r="G221" s="208"/>
    </row>
    <row r="222" spans="1:36" s="170" customFormat="1" x14ac:dyDescent="0.35">
      <c r="A222" s="190" t="s">
        <v>390</v>
      </c>
      <c r="B222" s="165"/>
      <c r="C222" s="165"/>
      <c r="D222" s="166"/>
      <c r="E222" s="167"/>
      <c r="F222" s="164"/>
      <c r="G222" s="197"/>
    </row>
    <row r="223" spans="1:36" s="170" customFormat="1" x14ac:dyDescent="0.35">
      <c r="A223" s="194" t="s">
        <v>214</v>
      </c>
      <c r="B223" s="165">
        <v>1</v>
      </c>
      <c r="C223" s="168">
        <f>+Лист4!$C$29</f>
        <v>5592500</v>
      </c>
      <c r="D223" s="166">
        <f>+B223*Лист4!$C$29</f>
        <v>5592500</v>
      </c>
      <c r="E223" s="167">
        <v>14</v>
      </c>
      <c r="F223" s="169"/>
      <c r="G223" s="189" t="s">
        <v>150</v>
      </c>
    </row>
    <row r="224" spans="1:36" s="170" customFormat="1" x14ac:dyDescent="0.35">
      <c r="A224" s="196" t="s">
        <v>423</v>
      </c>
      <c r="B224" s="165"/>
      <c r="C224" s="165"/>
      <c r="D224" s="166"/>
      <c r="E224" s="167"/>
      <c r="F224" s="164"/>
      <c r="G224" s="197"/>
    </row>
    <row r="225" spans="1:36" s="170" customFormat="1" x14ac:dyDescent="0.35">
      <c r="A225" s="187" t="s">
        <v>23</v>
      </c>
      <c r="B225" s="160">
        <v>1</v>
      </c>
      <c r="C225" s="161">
        <f>+Лист4!$C$10</f>
        <v>7442800</v>
      </c>
      <c r="D225" s="162">
        <f>+Лист4!C27</f>
        <v>4961900</v>
      </c>
      <c r="E225" s="163">
        <v>12</v>
      </c>
      <c r="F225" s="164"/>
      <c r="G225" s="221" t="s">
        <v>251</v>
      </c>
    </row>
    <row r="226" spans="1:36" s="170" customFormat="1" x14ac:dyDescent="0.35">
      <c r="A226" s="187" t="s">
        <v>52</v>
      </c>
      <c r="B226" s="160">
        <v>1</v>
      </c>
      <c r="C226" s="161">
        <f>+Лист4!$C$26</f>
        <v>4652300</v>
      </c>
      <c r="D226" s="162">
        <f>+B226*Лист4!C26</f>
        <v>4652300</v>
      </c>
      <c r="E226" s="163">
        <v>11</v>
      </c>
      <c r="F226" s="164"/>
      <c r="G226" s="208" t="s">
        <v>65</v>
      </c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</row>
    <row r="227" spans="1:36" s="170" customFormat="1" x14ac:dyDescent="0.35">
      <c r="A227" s="187" t="s">
        <v>131</v>
      </c>
      <c r="B227" s="160">
        <v>1</v>
      </c>
      <c r="C227" s="161">
        <f>+Лист4!$C$25</f>
        <v>4349700</v>
      </c>
      <c r="D227" s="162">
        <f>+B227*Лист4!$C$25</f>
        <v>4349700</v>
      </c>
      <c r="E227" s="163">
        <v>10</v>
      </c>
      <c r="F227" s="164"/>
      <c r="G227" s="189" t="s">
        <v>67</v>
      </c>
    </row>
    <row r="228" spans="1:36" s="170" customFormat="1" x14ac:dyDescent="0.35">
      <c r="A228" s="187" t="s">
        <v>131</v>
      </c>
      <c r="B228" s="160">
        <v>1</v>
      </c>
      <c r="C228" s="161">
        <f>+Лист4!$C$25</f>
        <v>4349700</v>
      </c>
      <c r="D228" s="162">
        <f>+B228*Лист4!$C$25</f>
        <v>4349700</v>
      </c>
      <c r="E228" s="163">
        <v>10</v>
      </c>
      <c r="F228" s="164"/>
      <c r="G228" s="221" t="s">
        <v>85</v>
      </c>
    </row>
    <row r="229" spans="1:36" s="170" customFormat="1" x14ac:dyDescent="0.35">
      <c r="A229" s="187" t="s">
        <v>197</v>
      </c>
      <c r="B229" s="160">
        <v>1</v>
      </c>
      <c r="C229" s="161">
        <f>+Лист4!$C$24</f>
        <v>4054100</v>
      </c>
      <c r="D229" s="162">
        <f>+$C$229</f>
        <v>4054100</v>
      </c>
      <c r="E229" s="163">
        <v>9</v>
      </c>
      <c r="F229" s="164"/>
      <c r="G229" s="221" t="s">
        <v>104</v>
      </c>
    </row>
    <row r="230" spans="1:36" s="170" customFormat="1" x14ac:dyDescent="0.35">
      <c r="A230" s="187" t="s">
        <v>197</v>
      </c>
      <c r="B230" s="160">
        <v>1</v>
      </c>
      <c r="C230" s="161">
        <f>+Лист4!$C$24</f>
        <v>4054100</v>
      </c>
      <c r="D230" s="162">
        <f>+C230</f>
        <v>4054100</v>
      </c>
      <c r="E230" s="163">
        <v>9</v>
      </c>
      <c r="F230" s="164"/>
      <c r="G230" s="208" t="s">
        <v>105</v>
      </c>
    </row>
    <row r="231" spans="1:36" s="170" customFormat="1" x14ac:dyDescent="0.35">
      <c r="A231" s="187" t="s">
        <v>197</v>
      </c>
      <c r="B231" s="160">
        <v>1</v>
      </c>
      <c r="C231" s="161">
        <f>+Лист4!$C$24</f>
        <v>4054100</v>
      </c>
      <c r="D231" s="162">
        <f>+B231*Лист4!C24</f>
        <v>4054100</v>
      </c>
      <c r="E231" s="163">
        <v>9</v>
      </c>
      <c r="F231" s="164"/>
      <c r="G231" s="217" t="s">
        <v>69</v>
      </c>
    </row>
    <row r="232" spans="1:36" s="170" customFormat="1" x14ac:dyDescent="0.35">
      <c r="A232" s="194" t="s">
        <v>5</v>
      </c>
      <c r="B232" s="165">
        <f>SUM(B225:B231)</f>
        <v>7</v>
      </c>
      <c r="C232" s="165"/>
      <c r="D232" s="166">
        <f>SUM(D225:D231)</f>
        <v>30475900</v>
      </c>
      <c r="E232" s="167"/>
      <c r="F232" s="164"/>
      <c r="G232" s="197"/>
    </row>
    <row r="233" spans="1:36" s="170" customFormat="1" x14ac:dyDescent="0.35">
      <c r="A233" s="196" t="s">
        <v>392</v>
      </c>
      <c r="B233" s="165"/>
      <c r="C233" s="165"/>
      <c r="D233" s="166"/>
      <c r="E233" s="167"/>
      <c r="F233" s="164"/>
      <c r="G233" s="201"/>
    </row>
    <row r="234" spans="1:36" s="170" customFormat="1" x14ac:dyDescent="0.35">
      <c r="A234" s="187" t="s">
        <v>408</v>
      </c>
      <c r="B234" s="160">
        <v>1</v>
      </c>
      <c r="C234" s="161">
        <f>+Лист4!$C$26</f>
        <v>4652300</v>
      </c>
      <c r="D234" s="162">
        <f>+B234*Лист4!$C$26</f>
        <v>4652300</v>
      </c>
      <c r="E234" s="163">
        <v>11</v>
      </c>
      <c r="F234" s="164"/>
      <c r="G234" s="222" t="s">
        <v>227</v>
      </c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</row>
    <row r="235" spans="1:36" s="170" customFormat="1" x14ac:dyDescent="0.35">
      <c r="A235" s="187" t="s">
        <v>411</v>
      </c>
      <c r="B235" s="160">
        <v>1</v>
      </c>
      <c r="C235" s="161">
        <f>+Лист4!$C$26</f>
        <v>4652300</v>
      </c>
      <c r="D235" s="162">
        <f>+B235*Лист4!$C$26</f>
        <v>4652300</v>
      </c>
      <c r="E235" s="163">
        <v>11</v>
      </c>
      <c r="F235" s="164"/>
      <c r="G235" s="189" t="s">
        <v>476</v>
      </c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</row>
    <row r="236" spans="1:36" s="170" customFormat="1" x14ac:dyDescent="0.35">
      <c r="A236" s="187" t="s">
        <v>452</v>
      </c>
      <c r="B236" s="160">
        <v>1</v>
      </c>
      <c r="C236" s="161">
        <f>+Лист4!$C$26</f>
        <v>4652300</v>
      </c>
      <c r="D236" s="162">
        <f>+B236*Лист4!$C$26</f>
        <v>4652300</v>
      </c>
      <c r="E236" s="163">
        <v>11</v>
      </c>
      <c r="F236" s="164"/>
      <c r="G236" s="201" t="s">
        <v>72</v>
      </c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</row>
    <row r="237" spans="1:36" s="170" customFormat="1" x14ac:dyDescent="0.35">
      <c r="A237" s="187" t="s">
        <v>453</v>
      </c>
      <c r="B237" s="160">
        <v>1</v>
      </c>
      <c r="C237" s="161">
        <f>+Лист4!$C$26</f>
        <v>4652300</v>
      </c>
      <c r="D237" s="162">
        <f>+B237*Лист4!$C$26</f>
        <v>4652300</v>
      </c>
      <c r="E237" s="163">
        <v>11</v>
      </c>
      <c r="F237" s="164"/>
      <c r="G237" s="222" t="s">
        <v>83</v>
      </c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</row>
    <row r="238" spans="1:36" s="170" customFormat="1" x14ac:dyDescent="0.35">
      <c r="A238" s="187" t="s">
        <v>454</v>
      </c>
      <c r="B238" s="160">
        <v>1</v>
      </c>
      <c r="C238" s="161">
        <f>+Лист4!$C$26</f>
        <v>4652300</v>
      </c>
      <c r="D238" s="162">
        <f>+B238*Лист4!$C$26</f>
        <v>4652300</v>
      </c>
      <c r="E238" s="163">
        <v>11</v>
      </c>
      <c r="F238" s="164"/>
      <c r="G238" s="201" t="s">
        <v>73</v>
      </c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</row>
    <row r="239" spans="1:36" s="170" customFormat="1" x14ac:dyDescent="0.35">
      <c r="A239" s="187" t="s">
        <v>455</v>
      </c>
      <c r="B239" s="160">
        <v>1</v>
      </c>
      <c r="C239" s="161">
        <f>+Лист4!$C$26</f>
        <v>4652300</v>
      </c>
      <c r="D239" s="162">
        <f>+B239*Лист4!$C$26</f>
        <v>4652300</v>
      </c>
      <c r="E239" s="163">
        <v>11</v>
      </c>
      <c r="F239" s="164"/>
      <c r="G239" s="224" t="s">
        <v>103</v>
      </c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</row>
    <row r="240" spans="1:36" s="170" customFormat="1" x14ac:dyDescent="0.35">
      <c r="A240" s="187" t="s">
        <v>456</v>
      </c>
      <c r="B240" s="160">
        <v>1</v>
      </c>
      <c r="C240" s="161">
        <f>+Лист4!$C$26</f>
        <v>4652300</v>
      </c>
      <c r="D240" s="162">
        <f>+B240*Лист4!$C$26</f>
        <v>4652300</v>
      </c>
      <c r="E240" s="163">
        <v>11</v>
      </c>
      <c r="F240" s="164"/>
      <c r="G240" s="201" t="s">
        <v>70</v>
      </c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</row>
    <row r="241" spans="1:36" s="170" customFormat="1" x14ac:dyDescent="0.35">
      <c r="A241" s="187" t="s">
        <v>457</v>
      </c>
      <c r="B241" s="160">
        <v>1</v>
      </c>
      <c r="C241" s="161">
        <f>+Лист4!$C$26</f>
        <v>4652300</v>
      </c>
      <c r="D241" s="162">
        <f>+B241*Лист4!$C$26</f>
        <v>4652300</v>
      </c>
      <c r="E241" s="163">
        <v>11</v>
      </c>
      <c r="F241" s="164"/>
      <c r="G241" s="201" t="s">
        <v>82</v>
      </c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</row>
    <row r="242" spans="1:36" s="170" customFormat="1" x14ac:dyDescent="0.35">
      <c r="A242" s="187" t="s">
        <v>458</v>
      </c>
      <c r="B242" s="160">
        <v>1</v>
      </c>
      <c r="C242" s="161">
        <f>+Лист4!$C$26</f>
        <v>4652300</v>
      </c>
      <c r="D242" s="162">
        <f>+B242*Лист4!$C$26</f>
        <v>4652300</v>
      </c>
      <c r="E242" s="163">
        <v>11</v>
      </c>
      <c r="F242" s="164"/>
      <c r="G242" s="222" t="s">
        <v>76</v>
      </c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</row>
    <row r="243" spans="1:36" s="170" customFormat="1" x14ac:dyDescent="0.35">
      <c r="A243" s="187" t="s">
        <v>459</v>
      </c>
      <c r="B243" s="160">
        <v>1</v>
      </c>
      <c r="C243" s="161">
        <f>+Лист4!$C$26</f>
        <v>4652300</v>
      </c>
      <c r="D243" s="162">
        <f>+B243*Лист4!$C$26</f>
        <v>4652300</v>
      </c>
      <c r="E243" s="163">
        <v>11</v>
      </c>
      <c r="F243" s="164"/>
      <c r="G243" s="222" t="s">
        <v>86</v>
      </c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</row>
    <row r="244" spans="1:36" s="170" customFormat="1" x14ac:dyDescent="0.35">
      <c r="A244" s="187" t="s">
        <v>460</v>
      </c>
      <c r="B244" s="160">
        <v>1</v>
      </c>
      <c r="C244" s="161">
        <f>+Лист4!$C$26</f>
        <v>4652300</v>
      </c>
      <c r="D244" s="162">
        <f>+B244*Лист4!$C$26</f>
        <v>4652300</v>
      </c>
      <c r="E244" s="163">
        <v>11</v>
      </c>
      <c r="F244" s="164"/>
      <c r="G244" s="222" t="s">
        <v>79</v>
      </c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</row>
    <row r="245" spans="1:36" s="170" customFormat="1" x14ac:dyDescent="0.35">
      <c r="A245" s="187" t="s">
        <v>462</v>
      </c>
      <c r="B245" s="160">
        <v>1</v>
      </c>
      <c r="C245" s="161">
        <f>+Лист4!$C$26</f>
        <v>4652300</v>
      </c>
      <c r="D245" s="162">
        <f>+B245*Лист4!$C$26</f>
        <v>4652300</v>
      </c>
      <c r="E245" s="163">
        <v>11</v>
      </c>
      <c r="F245" s="164"/>
      <c r="G245" s="201" t="s">
        <v>75</v>
      </c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</row>
    <row r="246" spans="1:36" s="170" customFormat="1" x14ac:dyDescent="0.35">
      <c r="A246" s="187" t="s">
        <v>461</v>
      </c>
      <c r="B246" s="160">
        <v>1</v>
      </c>
      <c r="C246" s="161">
        <f>+Лист4!$C$26</f>
        <v>4652300</v>
      </c>
      <c r="D246" s="162">
        <f>+B246*Лист4!$C$26</f>
        <v>4652300</v>
      </c>
      <c r="E246" s="163">
        <v>11</v>
      </c>
      <c r="F246" s="164"/>
      <c r="G246" s="222" t="s">
        <v>123</v>
      </c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</row>
    <row r="247" spans="1:36" s="170" customFormat="1" x14ac:dyDescent="0.35">
      <c r="A247" s="187" t="s">
        <v>463</v>
      </c>
      <c r="B247" s="160">
        <v>1</v>
      </c>
      <c r="C247" s="161">
        <f>+Лист4!$C$26</f>
        <v>4652300</v>
      </c>
      <c r="D247" s="162">
        <f>+B247*Лист4!$C$26</f>
        <v>4652300</v>
      </c>
      <c r="E247" s="163">
        <v>11</v>
      </c>
      <c r="F247" s="164"/>
      <c r="G247" s="222" t="s">
        <v>71</v>
      </c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</row>
    <row r="248" spans="1:36" s="170" customFormat="1" x14ac:dyDescent="0.35">
      <c r="A248" s="187" t="s">
        <v>410</v>
      </c>
      <c r="B248" s="160">
        <v>1</v>
      </c>
      <c r="C248" s="161">
        <f>+Лист4!$C$25</f>
        <v>4349700</v>
      </c>
      <c r="D248" s="162">
        <f>+B248*Лист4!$C$25</f>
        <v>4349700</v>
      </c>
      <c r="E248" s="163">
        <v>10</v>
      </c>
      <c r="F248" s="164"/>
      <c r="G248" s="222" t="s">
        <v>119</v>
      </c>
    </row>
    <row r="249" spans="1:36" s="170" customFormat="1" x14ac:dyDescent="0.35">
      <c r="A249" s="187" t="s">
        <v>412</v>
      </c>
      <c r="B249" s="160">
        <v>1</v>
      </c>
      <c r="C249" s="161">
        <f>+Лист4!$C$25</f>
        <v>4349700</v>
      </c>
      <c r="D249" s="162">
        <f>+B249*Лист4!$C$25</f>
        <v>4349700</v>
      </c>
      <c r="E249" s="163">
        <v>10</v>
      </c>
      <c r="F249" s="164"/>
      <c r="G249" s="218" t="s">
        <v>477</v>
      </c>
    </row>
    <row r="250" spans="1:36" s="170" customFormat="1" x14ac:dyDescent="0.35">
      <c r="A250" s="187" t="s">
        <v>468</v>
      </c>
      <c r="B250" s="160">
        <v>1</v>
      </c>
      <c r="C250" s="161">
        <f>+Лист4!$C$25</f>
        <v>4349700</v>
      </c>
      <c r="D250" s="162">
        <f>+B250*Лист4!$C$25</f>
        <v>4349700</v>
      </c>
      <c r="E250" s="163">
        <v>10</v>
      </c>
      <c r="F250" s="164"/>
      <c r="G250" s="217" t="s">
        <v>93</v>
      </c>
    </row>
    <row r="251" spans="1:36" s="170" customFormat="1" x14ac:dyDescent="0.35">
      <c r="A251" s="187" t="s">
        <v>469</v>
      </c>
      <c r="B251" s="160">
        <v>1</v>
      </c>
      <c r="C251" s="161">
        <f>+Лист4!$C$25</f>
        <v>4349700</v>
      </c>
      <c r="D251" s="162">
        <f>+B251*Лист4!$C$25</f>
        <v>4349700</v>
      </c>
      <c r="E251" s="163">
        <v>10</v>
      </c>
      <c r="F251" s="164"/>
      <c r="G251" s="217" t="s">
        <v>94</v>
      </c>
    </row>
    <row r="252" spans="1:36" s="170" customFormat="1" x14ac:dyDescent="0.35">
      <c r="A252" s="187" t="s">
        <v>131</v>
      </c>
      <c r="B252" s="160">
        <v>1</v>
      </c>
      <c r="C252" s="161">
        <f>+Лист4!$C$25</f>
        <v>4349700</v>
      </c>
      <c r="D252" s="162">
        <f>+B252*Лист4!$C$25</f>
        <v>4349700</v>
      </c>
      <c r="E252" s="163">
        <v>10</v>
      </c>
      <c r="F252" s="164"/>
      <c r="G252" s="201"/>
    </row>
    <row r="253" spans="1:36" s="170" customFormat="1" x14ac:dyDescent="0.35">
      <c r="A253" s="187" t="s">
        <v>464</v>
      </c>
      <c r="B253" s="160">
        <v>1</v>
      </c>
      <c r="C253" s="161">
        <f>+Лист4!$C$25</f>
        <v>4349700</v>
      </c>
      <c r="D253" s="162">
        <f>+B253*Лист4!$C$25</f>
        <v>4349700</v>
      </c>
      <c r="E253" s="163">
        <v>10</v>
      </c>
      <c r="F253" s="164"/>
      <c r="G253" s="201"/>
    </row>
    <row r="254" spans="1:36" s="170" customFormat="1" x14ac:dyDescent="0.35">
      <c r="A254" s="187" t="s">
        <v>467</v>
      </c>
      <c r="B254" s="160">
        <v>1</v>
      </c>
      <c r="C254" s="161">
        <f>+Лист4!$C$24</f>
        <v>4054100</v>
      </c>
      <c r="D254" s="162">
        <f>+B254*Лист4!$C$24</f>
        <v>4054100</v>
      </c>
      <c r="E254" s="162">
        <f>+C254*Лист4!$C$24</f>
        <v>16435726810000</v>
      </c>
      <c r="F254" s="164"/>
      <c r="G254" s="201" t="s">
        <v>102</v>
      </c>
    </row>
    <row r="255" spans="1:36" s="170" customFormat="1" x14ac:dyDescent="0.35">
      <c r="A255" s="187" t="s">
        <v>465</v>
      </c>
      <c r="B255" s="160">
        <v>1</v>
      </c>
      <c r="C255" s="161">
        <f>+Лист4!$C$24</f>
        <v>4054100</v>
      </c>
      <c r="D255" s="162">
        <f>+B255*Лист4!$C$24</f>
        <v>4054100</v>
      </c>
      <c r="E255" s="163">
        <v>9</v>
      </c>
      <c r="F255" s="164"/>
      <c r="G255" s="201" t="s">
        <v>87</v>
      </c>
    </row>
    <row r="256" spans="1:36" s="170" customFormat="1" x14ac:dyDescent="0.35">
      <c r="A256" s="187" t="s">
        <v>466</v>
      </c>
      <c r="B256" s="160">
        <v>1</v>
      </c>
      <c r="C256" s="161">
        <f>+Лист4!$C$24</f>
        <v>4054100</v>
      </c>
      <c r="D256" s="162">
        <f>+B256*Лист4!$C$24</f>
        <v>4054100</v>
      </c>
      <c r="E256" s="163">
        <v>9</v>
      </c>
      <c r="F256" s="164"/>
      <c r="G256" s="201" t="s">
        <v>100</v>
      </c>
    </row>
    <row r="257" spans="1:36" s="170" customFormat="1" x14ac:dyDescent="0.35">
      <c r="A257" s="187" t="s">
        <v>470</v>
      </c>
      <c r="B257" s="160">
        <v>1</v>
      </c>
      <c r="C257" s="161">
        <f>+Лист4!$C$24</f>
        <v>4054100</v>
      </c>
      <c r="D257" s="162">
        <f>+B257*Лист4!$C$24</f>
        <v>4054100</v>
      </c>
      <c r="E257" s="163">
        <v>9</v>
      </c>
      <c r="F257" s="164"/>
      <c r="G257" s="201" t="s">
        <v>99</v>
      </c>
    </row>
    <row r="258" spans="1:36" s="170" customFormat="1" x14ac:dyDescent="0.35">
      <c r="A258" s="187" t="s">
        <v>474</v>
      </c>
      <c r="B258" s="160">
        <v>1</v>
      </c>
      <c r="C258" s="161">
        <f>+Лист4!$C$24</f>
        <v>4054100</v>
      </c>
      <c r="D258" s="162">
        <f>+B258*Лист4!$C$24</f>
        <v>4054100</v>
      </c>
      <c r="E258" s="163">
        <v>9</v>
      </c>
      <c r="F258" s="164"/>
      <c r="G258" s="222" t="s">
        <v>191</v>
      </c>
    </row>
    <row r="259" spans="1:36" s="170" customFormat="1" x14ac:dyDescent="0.35">
      <c r="A259" s="187" t="s">
        <v>480</v>
      </c>
      <c r="B259" s="160">
        <v>1</v>
      </c>
      <c r="C259" s="161">
        <f>+Лист4!$C$24</f>
        <v>4054100</v>
      </c>
      <c r="D259" s="162">
        <f>+B259*Лист4!$C$24</f>
        <v>4054100</v>
      </c>
      <c r="E259" s="163">
        <v>9</v>
      </c>
      <c r="F259" s="164"/>
      <c r="G259" s="201" t="s">
        <v>97</v>
      </c>
    </row>
    <row r="260" spans="1:36" s="170" customFormat="1" x14ac:dyDescent="0.35">
      <c r="A260" s="187" t="s">
        <v>471</v>
      </c>
      <c r="B260" s="160">
        <v>1</v>
      </c>
      <c r="C260" s="161">
        <f>+Лист4!$C$23</f>
        <v>3765300</v>
      </c>
      <c r="D260" s="162">
        <f>+B260*Лист4!$C$23</f>
        <v>3765300</v>
      </c>
      <c r="E260" s="163">
        <v>8</v>
      </c>
      <c r="F260" s="164"/>
      <c r="G260" s="201" t="s">
        <v>152</v>
      </c>
    </row>
    <row r="261" spans="1:36" s="170" customFormat="1" x14ac:dyDescent="0.35">
      <c r="A261" s="187" t="s">
        <v>472</v>
      </c>
      <c r="B261" s="160">
        <v>1</v>
      </c>
      <c r="C261" s="161">
        <f>+Лист4!$C$23</f>
        <v>3765300</v>
      </c>
      <c r="D261" s="162">
        <f>+B261*Лист4!$C$23</f>
        <v>3765300</v>
      </c>
      <c r="E261" s="163">
        <v>8</v>
      </c>
      <c r="F261" s="164"/>
      <c r="G261" s="222" t="s">
        <v>98</v>
      </c>
    </row>
    <row r="262" spans="1:36" s="170" customFormat="1" x14ac:dyDescent="0.35">
      <c r="A262" s="241" t="s">
        <v>473</v>
      </c>
      <c r="B262" s="160">
        <v>0.5</v>
      </c>
      <c r="C262" s="161">
        <f>+Лист4!$C$23</f>
        <v>3765300</v>
      </c>
      <c r="D262" s="162">
        <f>+B262*Лист4!$C$23</f>
        <v>1882650</v>
      </c>
      <c r="E262" s="163">
        <v>8</v>
      </c>
      <c r="F262" s="164"/>
      <c r="G262" s="222" t="s">
        <v>80</v>
      </c>
    </row>
    <row r="263" spans="1:36" s="170" customFormat="1" x14ac:dyDescent="0.35">
      <c r="A263" s="242"/>
      <c r="B263" s="160">
        <v>0.5</v>
      </c>
      <c r="C263" s="161"/>
      <c r="D263" s="162">
        <f>+B263*Лист4!$C$23</f>
        <v>1882650</v>
      </c>
      <c r="E263" s="163">
        <v>8</v>
      </c>
      <c r="F263" s="164"/>
      <c r="G263" s="222" t="s">
        <v>96</v>
      </c>
    </row>
    <row r="264" spans="1:36" s="170" customFormat="1" x14ac:dyDescent="0.35">
      <c r="A264" s="187" t="s">
        <v>473</v>
      </c>
      <c r="B264" s="160">
        <v>1</v>
      </c>
      <c r="C264" s="161">
        <f>+Лист4!$C$23</f>
        <v>3765300</v>
      </c>
      <c r="D264" s="162">
        <f>+B264*Лист4!$C$23</f>
        <v>3765300</v>
      </c>
      <c r="E264" s="163">
        <v>8</v>
      </c>
      <c r="F264" s="164"/>
      <c r="G264" s="222" t="s">
        <v>92</v>
      </c>
    </row>
    <row r="265" spans="1:36" s="170" customFormat="1" x14ac:dyDescent="0.35">
      <c r="A265" s="187" t="s">
        <v>475</v>
      </c>
      <c r="B265" s="160">
        <v>1</v>
      </c>
      <c r="C265" s="161">
        <f>+Лист4!$C$23</f>
        <v>3765300</v>
      </c>
      <c r="D265" s="162">
        <f>+B265*Лист4!$C$23</f>
        <v>3765300</v>
      </c>
      <c r="E265" s="163">
        <v>8</v>
      </c>
      <c r="F265" s="164"/>
      <c r="G265" s="222" t="s">
        <v>88</v>
      </c>
    </row>
    <row r="266" spans="1:36" x14ac:dyDescent="0.35">
      <c r="A266" s="187" t="s">
        <v>479</v>
      </c>
      <c r="B266" s="160">
        <v>1</v>
      </c>
      <c r="C266" s="161">
        <f>+Лист4!$C$23</f>
        <v>3765300</v>
      </c>
      <c r="D266" s="162">
        <f>+B266*Лист4!$C$23</f>
        <v>3765300</v>
      </c>
      <c r="E266" s="163">
        <v>8</v>
      </c>
      <c r="F266" s="164"/>
      <c r="G266" s="200" t="s">
        <v>478</v>
      </c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72"/>
    </row>
    <row r="267" spans="1:36" s="170" customFormat="1" x14ac:dyDescent="0.35">
      <c r="A267" s="194" t="s">
        <v>5</v>
      </c>
      <c r="B267" s="165">
        <f>SUM(B234:B266)</f>
        <v>32</v>
      </c>
      <c r="C267" s="165"/>
      <c r="D267" s="166">
        <f>SUM(D234:D266)</f>
        <v>138146800</v>
      </c>
      <c r="E267" s="167"/>
      <c r="F267" s="164"/>
      <c r="G267" s="197"/>
    </row>
    <row r="268" spans="1:36" s="170" customFormat="1" ht="18.600000000000001" thickBot="1" x14ac:dyDescent="0.4">
      <c r="A268" s="202" t="s">
        <v>274</v>
      </c>
      <c r="B268" s="203">
        <f>+B10+B16+B31+B32+B33+B34+B40+B27+B45+B23+B47+B89+B98+B103+B109+B111+B117+B123+B128+B130+B148+B165+B178+B182+B189+B191+B198+B204+B209+B215+B221+B223+B232+B267</f>
        <v>202</v>
      </c>
      <c r="C268" s="203"/>
      <c r="D268" s="204">
        <f>+D10+D16+D31+D32+D33+D34+D40+D27+D45+D23+D47+D89+D98+D103+D109+D111+D117+D123+D128+D130+D148+D165+D178+D182+D189+D191+D198+D204+D209+D215+D221+D223+D232+D267</f>
        <v>1270847900</v>
      </c>
      <c r="E268" s="205"/>
      <c r="F268" s="206"/>
      <c r="G268" s="207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</row>
  </sheetData>
  <autoFilter ref="A6:E268" xr:uid="{00000000-0009-0000-0000-000002000000}"/>
  <mergeCells count="12">
    <mergeCell ref="A1:F1"/>
    <mergeCell ref="A2:E2"/>
    <mergeCell ref="A131:B131"/>
    <mergeCell ref="A174:A175"/>
    <mergeCell ref="B174:B175"/>
    <mergeCell ref="D174:D175"/>
    <mergeCell ref="E174:E175"/>
    <mergeCell ref="A262:A263"/>
    <mergeCell ref="A201:A202"/>
    <mergeCell ref="B201:B202"/>
    <mergeCell ref="D201:D202"/>
    <mergeCell ref="E201:E202"/>
  </mergeCells>
  <pageMargins left="0.70866141732283472" right="0.70866141732283472" top="0.78740157480314965" bottom="0.74803149606299213" header="0.31496062992125984" footer="0.31496062992125984"/>
  <pageSetup paperSize="9" scale="5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72"/>
  <sheetViews>
    <sheetView topLeftCell="A142" zoomScale="60" zoomScaleNormal="60" zoomScalePageLayoutView="70" workbookViewId="0">
      <selection activeCell="A13" sqref="A13"/>
    </sheetView>
  </sheetViews>
  <sheetFormatPr defaultColWidth="9.109375" defaultRowHeight="21" x14ac:dyDescent="0.4"/>
  <cols>
    <col min="1" max="1" width="86.6640625" style="5" customWidth="1"/>
    <col min="2" max="2" width="21.5546875" style="33" customWidth="1"/>
    <col min="3" max="3" width="33.44140625" style="33" hidden="1" customWidth="1"/>
    <col min="4" max="4" width="29.6640625" style="116" customWidth="1"/>
    <col min="5" max="5" width="19" style="36" customWidth="1"/>
    <col min="6" max="6" width="71.109375" style="5" hidden="1" customWidth="1"/>
    <col min="7" max="7" width="9.109375" style="5" customWidth="1"/>
    <col min="8" max="8" width="29.88671875" style="5" customWidth="1"/>
    <col min="9" max="9" width="28.109375" style="5" customWidth="1"/>
    <col min="10" max="19" width="9.109375" style="5" customWidth="1"/>
    <col min="20" max="20" width="9.109375" style="5"/>
    <col min="21" max="21" width="23.5546875" style="5" bestFit="1" customWidth="1"/>
    <col min="22" max="16384" width="9.109375" style="5"/>
  </cols>
  <sheetData>
    <row r="1" spans="1:9" ht="62.25" customHeight="1" x14ac:dyDescent="0.4">
      <c r="B1" s="259"/>
      <c r="C1" s="259"/>
      <c r="D1" s="259"/>
      <c r="E1" s="259"/>
    </row>
    <row r="2" spans="1:9" ht="93" customHeight="1" x14ac:dyDescent="0.4">
      <c r="A2" s="13"/>
      <c r="B2" s="260"/>
      <c r="C2" s="260"/>
      <c r="D2" s="260"/>
      <c r="E2" s="260"/>
    </row>
    <row r="3" spans="1:9" ht="28.5" customHeight="1" x14ac:dyDescent="0.4">
      <c r="A3" s="13"/>
    </row>
    <row r="4" spans="1:9" ht="81.75" customHeight="1" x14ac:dyDescent="0.4">
      <c r="A4" s="13"/>
    </row>
    <row r="5" spans="1:9" ht="55.5" customHeight="1" x14ac:dyDescent="0.4">
      <c r="A5" s="13"/>
    </row>
    <row r="6" spans="1:9" ht="56.25" customHeight="1" x14ac:dyDescent="0.5">
      <c r="A6" s="261" t="s">
        <v>261</v>
      </c>
      <c r="B6" s="261"/>
      <c r="C6" s="261"/>
      <c r="D6" s="261"/>
      <c r="E6" s="261"/>
      <c r="F6" s="261"/>
      <c r="H6" s="147"/>
      <c r="I6" s="148"/>
    </row>
    <row r="7" spans="1:9" ht="22.8" x14ac:dyDescent="0.4">
      <c r="A7" s="261" t="s">
        <v>247</v>
      </c>
      <c r="B7" s="261"/>
      <c r="C7" s="261"/>
      <c r="D7" s="261"/>
      <c r="E7" s="261"/>
    </row>
    <row r="8" spans="1:9" ht="23.4" thickBot="1" x14ac:dyDescent="0.45">
      <c r="A8" s="24"/>
      <c r="D8" s="117"/>
      <c r="E8" s="35"/>
    </row>
    <row r="9" spans="1:9" ht="179.25" customHeight="1" thickBot="1" x14ac:dyDescent="0.45">
      <c r="A9" s="52" t="s">
        <v>265</v>
      </c>
      <c r="B9" s="45" t="s">
        <v>262</v>
      </c>
      <c r="C9" s="45" t="s">
        <v>337</v>
      </c>
      <c r="D9" s="44" t="s">
        <v>338</v>
      </c>
      <c r="E9" s="43" t="s">
        <v>0</v>
      </c>
      <c r="F9" s="137" t="s">
        <v>340</v>
      </c>
    </row>
    <row r="10" spans="1:9" ht="23.4" thickBot="1" x14ac:dyDescent="0.45">
      <c r="A10" s="37">
        <v>1</v>
      </c>
      <c r="B10" s="3">
        <v>2</v>
      </c>
      <c r="C10" s="3"/>
      <c r="D10" s="118">
        <v>4</v>
      </c>
      <c r="E10" s="38">
        <v>3</v>
      </c>
      <c r="F10" s="139"/>
    </row>
    <row r="11" spans="1:9" ht="22.8" x14ac:dyDescent="0.4">
      <c r="A11" s="130" t="s">
        <v>327</v>
      </c>
      <c r="B11" s="59"/>
      <c r="C11" s="59"/>
      <c r="D11" s="89"/>
      <c r="E11" s="60"/>
      <c r="F11" s="141"/>
    </row>
    <row r="12" spans="1:9" ht="22.8" x14ac:dyDescent="0.4">
      <c r="A12" s="131" t="s">
        <v>2</v>
      </c>
      <c r="B12" s="59">
        <v>1</v>
      </c>
      <c r="C12" s="142">
        <f>+Лист4!C16</f>
        <v>9369400</v>
      </c>
      <c r="D12" s="89">
        <f>+Лист4!C16</f>
        <v>9369400</v>
      </c>
      <c r="E12" s="60">
        <v>16</v>
      </c>
      <c r="F12" s="143" t="s">
        <v>341</v>
      </c>
      <c r="G12" s="152"/>
      <c r="H12" s="152"/>
      <c r="I12" s="152"/>
    </row>
    <row r="13" spans="1:9" ht="22.8" x14ac:dyDescent="0.4">
      <c r="A13" s="131" t="s">
        <v>3</v>
      </c>
      <c r="B13" s="59">
        <v>1</v>
      </c>
      <c r="C13" s="142">
        <f>+Лист4!C14</f>
        <v>8873900</v>
      </c>
      <c r="D13" s="89">
        <f>+Лист4!C14</f>
        <v>8873900</v>
      </c>
      <c r="E13" s="60">
        <v>15</v>
      </c>
      <c r="F13" s="144" t="s">
        <v>16</v>
      </c>
      <c r="G13" s="152"/>
      <c r="H13" s="152"/>
      <c r="I13" s="152"/>
    </row>
    <row r="14" spans="1:9" ht="22.8" x14ac:dyDescent="0.4">
      <c r="A14" s="131" t="s">
        <v>4</v>
      </c>
      <c r="B14" s="59">
        <v>1</v>
      </c>
      <c r="C14" s="142">
        <f>+Лист4!$C$15</f>
        <v>8430300</v>
      </c>
      <c r="D14" s="89">
        <f>+Лист4!C15</f>
        <v>8430300</v>
      </c>
      <c r="E14" s="60">
        <v>15</v>
      </c>
      <c r="F14" s="143" t="s">
        <v>342</v>
      </c>
      <c r="G14" s="152"/>
      <c r="H14" s="152"/>
      <c r="I14" s="152"/>
    </row>
    <row r="15" spans="1:9" ht="22.8" x14ac:dyDescent="0.4">
      <c r="A15" s="130" t="s">
        <v>5</v>
      </c>
      <c r="B15" s="71">
        <f>SUM(B12:B14)</f>
        <v>3</v>
      </c>
      <c r="C15" s="71"/>
      <c r="D15" s="90">
        <f>SUM(D12:D14)</f>
        <v>26673600</v>
      </c>
      <c r="E15" s="72"/>
      <c r="F15" s="145"/>
    </row>
    <row r="16" spans="1:9" ht="22.8" x14ac:dyDescent="0.4">
      <c r="A16" s="130" t="s">
        <v>353</v>
      </c>
      <c r="B16" s="71"/>
      <c r="C16" s="71"/>
      <c r="D16" s="89"/>
      <c r="E16" s="60"/>
      <c r="F16" s="145"/>
    </row>
    <row r="17" spans="1:9" ht="22.8" x14ac:dyDescent="0.4">
      <c r="A17" s="131" t="s">
        <v>231</v>
      </c>
      <c r="B17" s="59">
        <v>1</v>
      </c>
      <c r="C17" s="142">
        <f>+Лист4!$C$13</f>
        <v>8388800</v>
      </c>
      <c r="D17" s="89">
        <f>+B17*Лист4!$C$13</f>
        <v>8388800</v>
      </c>
      <c r="E17" s="60">
        <v>14</v>
      </c>
      <c r="F17" s="143" t="s">
        <v>133</v>
      </c>
      <c r="G17" s="152"/>
      <c r="H17" s="152"/>
      <c r="I17" s="152"/>
    </row>
    <row r="18" spans="1:9" ht="22.8" x14ac:dyDescent="0.4">
      <c r="A18" s="131" t="s">
        <v>232</v>
      </c>
      <c r="B18" s="59">
        <v>1</v>
      </c>
      <c r="C18" s="142">
        <f>+Лист4!$C$11</f>
        <v>7914100</v>
      </c>
      <c r="D18" s="89">
        <f>+B18*Лист4!$C$11</f>
        <v>7914100</v>
      </c>
      <c r="E18" s="60">
        <v>13</v>
      </c>
      <c r="F18" s="143" t="s">
        <v>10</v>
      </c>
      <c r="G18" s="152"/>
      <c r="H18" s="152"/>
      <c r="I18" s="152"/>
    </row>
    <row r="19" spans="1:9" ht="22.8" x14ac:dyDescent="0.4">
      <c r="A19" s="131" t="s">
        <v>23</v>
      </c>
      <c r="B19" s="59">
        <v>1</v>
      </c>
      <c r="C19" s="142">
        <f>+Лист4!$C$10</f>
        <v>7442800</v>
      </c>
      <c r="D19" s="89">
        <f>+B19*Лист4!$C$10</f>
        <v>7442800</v>
      </c>
      <c r="E19" s="60">
        <v>12</v>
      </c>
      <c r="F19" s="143" t="s">
        <v>11</v>
      </c>
      <c r="G19" s="152"/>
      <c r="H19" s="152"/>
      <c r="I19" s="152"/>
    </row>
    <row r="20" spans="1:9" ht="22.8" x14ac:dyDescent="0.4">
      <c r="A20" s="131" t="s">
        <v>23</v>
      </c>
      <c r="B20" s="59">
        <v>1</v>
      </c>
      <c r="C20" s="142">
        <f>+Лист4!$C$10</f>
        <v>7442800</v>
      </c>
      <c r="D20" s="89">
        <f>+B20*Лист4!$C$10</f>
        <v>7442800</v>
      </c>
      <c r="E20" s="60">
        <v>12</v>
      </c>
      <c r="F20" s="143" t="s">
        <v>12</v>
      </c>
      <c r="G20" s="152"/>
      <c r="H20" s="152"/>
      <c r="I20" s="152"/>
    </row>
    <row r="21" spans="1:9" ht="22.8" x14ac:dyDescent="0.4">
      <c r="A21" s="27" t="s">
        <v>5</v>
      </c>
      <c r="B21" s="24">
        <f>SUM(B17:B20)</f>
        <v>4</v>
      </c>
      <c r="C21" s="24"/>
      <c r="D21" s="119">
        <f>SUM(D17:D20)</f>
        <v>31188500</v>
      </c>
      <c r="E21" s="48"/>
      <c r="F21" s="138"/>
    </row>
    <row r="22" spans="1:9" ht="22.8" x14ac:dyDescent="0.4">
      <c r="A22" s="130" t="s">
        <v>358</v>
      </c>
      <c r="B22" s="71"/>
      <c r="C22" s="71"/>
      <c r="D22" s="90"/>
      <c r="E22" s="71"/>
      <c r="F22" s="143"/>
    </row>
    <row r="23" spans="1:9" ht="22.8" x14ac:dyDescent="0.4">
      <c r="A23" s="131" t="s">
        <v>15</v>
      </c>
      <c r="B23" s="59">
        <v>1</v>
      </c>
      <c r="C23" s="142">
        <f>+Лист4!$C$13</f>
        <v>8388800</v>
      </c>
      <c r="D23" s="89">
        <f>+B23*Лист4!$C$13</f>
        <v>8388800</v>
      </c>
      <c r="E23" s="60">
        <v>14</v>
      </c>
      <c r="F23" s="143" t="s">
        <v>116</v>
      </c>
    </row>
    <row r="24" spans="1:9" ht="22.8" x14ac:dyDescent="0.4">
      <c r="A24" s="131" t="s">
        <v>52</v>
      </c>
      <c r="B24" s="59">
        <v>1</v>
      </c>
      <c r="C24" s="142">
        <f>+Лист4!$C$9</f>
        <v>6978500</v>
      </c>
      <c r="D24" s="89">
        <f>+B24*Лист4!$C$9</f>
        <v>6978500</v>
      </c>
      <c r="E24" s="60">
        <v>11</v>
      </c>
      <c r="F24" s="143" t="s">
        <v>117</v>
      </c>
    </row>
    <row r="25" spans="1:9" ht="22.8" x14ac:dyDescent="0.4">
      <c r="A25" s="131" t="s">
        <v>131</v>
      </c>
      <c r="B25" s="59">
        <v>1</v>
      </c>
      <c r="C25" s="142">
        <f>+Лист4!$C$8</f>
        <v>6524600</v>
      </c>
      <c r="D25" s="89">
        <f>+B25*Лист4!$C$8</f>
        <v>6524600</v>
      </c>
      <c r="E25" s="60">
        <v>10</v>
      </c>
      <c r="F25" s="143" t="s">
        <v>115</v>
      </c>
    </row>
    <row r="26" spans="1:9" ht="22.8" x14ac:dyDescent="0.4">
      <c r="A26" s="131" t="s">
        <v>197</v>
      </c>
      <c r="B26" s="59">
        <v>1</v>
      </c>
      <c r="C26" s="142">
        <f>+Лист4!$C$7</f>
        <v>6081100</v>
      </c>
      <c r="D26" s="89">
        <f>+B26*Лист4!$C$7</f>
        <v>6081100</v>
      </c>
      <c r="E26" s="60">
        <v>9</v>
      </c>
      <c r="F26" s="143" t="s">
        <v>9</v>
      </c>
    </row>
    <row r="27" spans="1:9" ht="22.8" x14ac:dyDescent="0.4">
      <c r="A27" s="131" t="s">
        <v>339</v>
      </c>
      <c r="B27" s="59">
        <v>1</v>
      </c>
      <c r="C27" s="142">
        <f>+Лист4!$C$10</f>
        <v>7442800</v>
      </c>
      <c r="D27" s="89">
        <f>+B27*Лист4!$C$10</f>
        <v>7442800</v>
      </c>
      <c r="E27" s="60">
        <v>12</v>
      </c>
      <c r="F27" s="143" t="s">
        <v>9</v>
      </c>
    </row>
    <row r="28" spans="1:9" ht="22.8" x14ac:dyDescent="0.4">
      <c r="A28" s="130" t="s">
        <v>5</v>
      </c>
      <c r="B28" s="71">
        <f>SUM(B23:B27)</f>
        <v>5</v>
      </c>
      <c r="C28" s="71"/>
      <c r="D28" s="90">
        <f>SUM(D23:D27)</f>
        <v>35415800</v>
      </c>
      <c r="E28" s="71"/>
      <c r="F28" s="143"/>
    </row>
    <row r="29" spans="1:9" ht="22.8" x14ac:dyDescent="0.4">
      <c r="A29" s="130" t="s">
        <v>359</v>
      </c>
      <c r="B29" s="71"/>
      <c r="C29" s="71"/>
      <c r="D29" s="90"/>
      <c r="E29" s="71"/>
      <c r="F29" s="143"/>
    </row>
    <row r="30" spans="1:9" ht="24" customHeight="1" x14ac:dyDescent="0.4">
      <c r="A30" s="131" t="s">
        <v>15</v>
      </c>
      <c r="B30" s="59">
        <v>1</v>
      </c>
      <c r="C30" s="142">
        <f>+Лист4!$C$13</f>
        <v>8388800</v>
      </c>
      <c r="D30" s="89">
        <f>+B30*Лист4!$C$13</f>
        <v>8388800</v>
      </c>
      <c r="E30" s="60">
        <v>14</v>
      </c>
      <c r="F30" s="143" t="s">
        <v>164</v>
      </c>
    </row>
    <row r="31" spans="1:9" ht="22.8" x14ac:dyDescent="0.4">
      <c r="A31" s="131" t="s">
        <v>197</v>
      </c>
      <c r="B31" s="59">
        <v>1</v>
      </c>
      <c r="C31" s="142">
        <f>+Лист4!$C$7</f>
        <v>6081100</v>
      </c>
      <c r="D31" s="89">
        <f>+B31*Лист4!$C$7</f>
        <v>6081100</v>
      </c>
      <c r="E31" s="60">
        <v>9</v>
      </c>
      <c r="F31" s="143" t="s">
        <v>171</v>
      </c>
    </row>
    <row r="32" spans="1:9" ht="22.8" x14ac:dyDescent="0.4">
      <c r="A32" s="130" t="s">
        <v>5</v>
      </c>
      <c r="B32" s="71">
        <f>SUM(B30:B31)</f>
        <v>2</v>
      </c>
      <c r="C32" s="71"/>
      <c r="D32" s="90">
        <f>SUM(D30:D31)</f>
        <v>14469900</v>
      </c>
      <c r="E32" s="71"/>
      <c r="F32" s="143"/>
    </row>
    <row r="33" spans="1:7" ht="22.8" x14ac:dyDescent="0.4">
      <c r="A33" s="133" t="s">
        <v>360</v>
      </c>
      <c r="B33" s="71"/>
      <c r="C33" s="71"/>
      <c r="D33" s="90"/>
      <c r="E33" s="72"/>
      <c r="F33" s="143"/>
    </row>
    <row r="34" spans="1:7" ht="22.8" x14ac:dyDescent="0.4">
      <c r="A34" s="131" t="s">
        <v>15</v>
      </c>
      <c r="B34" s="59">
        <v>1</v>
      </c>
      <c r="C34" s="142">
        <f>+Лист4!$C$13</f>
        <v>8388800</v>
      </c>
      <c r="D34" s="89">
        <f>+B34*Лист4!$C$13</f>
        <v>8388800</v>
      </c>
      <c r="E34" s="60">
        <v>14</v>
      </c>
      <c r="F34" s="143" t="s">
        <v>8</v>
      </c>
    </row>
    <row r="35" spans="1:7" ht="22.8" x14ac:dyDescent="0.4">
      <c r="A35" s="131" t="s">
        <v>23</v>
      </c>
      <c r="B35" s="59">
        <v>1</v>
      </c>
      <c r="C35" s="142">
        <f>+Лист4!$C$10</f>
        <v>7442800</v>
      </c>
      <c r="D35" s="89">
        <f>+B35*Лист4!$C$10</f>
        <v>7442800</v>
      </c>
      <c r="E35" s="60">
        <v>12</v>
      </c>
      <c r="F35" s="143" t="s">
        <v>9</v>
      </c>
    </row>
    <row r="36" spans="1:7" ht="22.8" x14ac:dyDescent="0.4">
      <c r="A36" s="130" t="s">
        <v>5</v>
      </c>
      <c r="B36" s="71">
        <f>SUM(B34:B35)</f>
        <v>2</v>
      </c>
      <c r="C36" s="71"/>
      <c r="D36" s="90">
        <f>SUM(D34:D35)</f>
        <v>15831600</v>
      </c>
      <c r="E36" s="72"/>
      <c r="F36" s="143"/>
    </row>
    <row r="37" spans="1:7" ht="33.75" customHeight="1" x14ac:dyDescent="0.4">
      <c r="A37" s="132" t="s">
        <v>361</v>
      </c>
      <c r="B37" s="71">
        <v>1</v>
      </c>
      <c r="C37" s="153">
        <f>+Лист4!$C$13</f>
        <v>8388800</v>
      </c>
      <c r="D37" s="90">
        <f>+B37*Лист4!$C$13</f>
        <v>8388800</v>
      </c>
      <c r="E37" s="72">
        <v>14</v>
      </c>
      <c r="F37" s="143"/>
    </row>
    <row r="38" spans="1:7" ht="33.75" customHeight="1" x14ac:dyDescent="0.4">
      <c r="A38" s="132" t="s">
        <v>362</v>
      </c>
      <c r="B38" s="71">
        <v>1</v>
      </c>
      <c r="C38" s="153">
        <f>+Лист4!$C$9</f>
        <v>6978500</v>
      </c>
      <c r="D38" s="90">
        <f>+B38*Лист4!$C$9</f>
        <v>6978500</v>
      </c>
      <c r="E38" s="72">
        <v>11</v>
      </c>
      <c r="F38" s="143" t="s">
        <v>343</v>
      </c>
    </row>
    <row r="39" spans="1:7" ht="33.75" customHeight="1" x14ac:dyDescent="0.4">
      <c r="A39" s="132" t="s">
        <v>363</v>
      </c>
      <c r="B39" s="71">
        <v>1</v>
      </c>
      <c r="C39" s="153">
        <f>+Лист4!$C$9</f>
        <v>6978500</v>
      </c>
      <c r="D39" s="90">
        <f>+B39*Лист4!$C$9</f>
        <v>6978500</v>
      </c>
      <c r="E39" s="72">
        <v>11</v>
      </c>
      <c r="F39" s="143" t="s">
        <v>181</v>
      </c>
    </row>
    <row r="40" spans="1:7" ht="23.25" customHeight="1" x14ac:dyDescent="0.4">
      <c r="A40" s="130" t="s">
        <v>364</v>
      </c>
      <c r="B40" s="71"/>
      <c r="C40" s="71"/>
      <c r="D40" s="90"/>
      <c r="E40" s="71"/>
      <c r="F40" s="143"/>
    </row>
    <row r="41" spans="1:7" ht="24" customHeight="1" x14ac:dyDescent="0.4">
      <c r="A41" s="131" t="s">
        <v>120</v>
      </c>
      <c r="B41" s="59">
        <v>1</v>
      </c>
      <c r="C41" s="142">
        <f>+Лист4!$C$13</f>
        <v>8388800</v>
      </c>
      <c r="D41" s="89">
        <f>+B41*Лист4!$C$13</f>
        <v>8388800</v>
      </c>
      <c r="E41" s="60">
        <v>14</v>
      </c>
      <c r="F41" s="143" t="s">
        <v>121</v>
      </c>
    </row>
    <row r="42" spans="1:7" ht="22.8" x14ac:dyDescent="0.4">
      <c r="A42" s="131" t="s">
        <v>13</v>
      </c>
      <c r="B42" s="59">
        <v>1</v>
      </c>
      <c r="C42" s="142">
        <f>+Лист4!C5</f>
        <v>5214800</v>
      </c>
      <c r="D42" s="89">
        <f>+Лист4!C22</f>
        <v>3476600</v>
      </c>
      <c r="E42" s="60">
        <v>7</v>
      </c>
      <c r="F42" s="143" t="s">
        <v>14</v>
      </c>
    </row>
    <row r="43" spans="1:7" ht="24" customHeight="1" x14ac:dyDescent="0.4">
      <c r="A43" s="131" t="s">
        <v>239</v>
      </c>
      <c r="B43" s="59">
        <v>1</v>
      </c>
      <c r="C43" s="142">
        <f>+Лист4!C21*1.5</f>
        <v>3465000</v>
      </c>
      <c r="D43" s="89">
        <f>+B44*Лист4!C21*1.5</f>
        <v>3465000</v>
      </c>
      <c r="E43" s="60">
        <v>1</v>
      </c>
      <c r="F43" s="143" t="s">
        <v>345</v>
      </c>
    </row>
    <row r="44" spans="1:7" ht="24" customHeight="1" x14ac:dyDescent="0.4">
      <c r="A44" s="131" t="s">
        <v>239</v>
      </c>
      <c r="B44" s="59">
        <v>1</v>
      </c>
      <c r="C44" s="142">
        <f>+Лист4!C21*1.5</f>
        <v>3465000</v>
      </c>
      <c r="D44" s="89">
        <f>+B44*Лист4!C21*1.5</f>
        <v>3465000</v>
      </c>
      <c r="E44" s="60">
        <v>1</v>
      </c>
      <c r="F44" s="143" t="s">
        <v>344</v>
      </c>
    </row>
    <row r="45" spans="1:7" ht="22.8" x14ac:dyDescent="0.4">
      <c r="A45" s="130" t="s">
        <v>5</v>
      </c>
      <c r="B45" s="71">
        <f>SUM(B41:B44)</f>
        <v>4</v>
      </c>
      <c r="C45" s="71"/>
      <c r="D45" s="90">
        <f>SUM(D41:D44)</f>
        <v>18795400</v>
      </c>
      <c r="E45" s="71"/>
      <c r="F45" s="143"/>
    </row>
    <row r="46" spans="1:7" ht="22.8" x14ac:dyDescent="0.4">
      <c r="A46" s="130" t="s">
        <v>365</v>
      </c>
      <c r="B46" s="71"/>
      <c r="C46" s="71"/>
      <c r="D46" s="90"/>
      <c r="E46" s="71"/>
      <c r="F46" s="143"/>
    </row>
    <row r="47" spans="1:7" ht="24" customHeight="1" x14ac:dyDescent="0.4">
      <c r="A47" s="131" t="s">
        <v>230</v>
      </c>
      <c r="B47" s="59">
        <v>1</v>
      </c>
      <c r="C47" s="142">
        <f>+Лист4!$C$13</f>
        <v>8388800</v>
      </c>
      <c r="D47" s="89">
        <f>+B47*Лист4!$C$13</f>
        <v>8388800</v>
      </c>
      <c r="E47" s="60">
        <v>14</v>
      </c>
      <c r="F47" s="143" t="s">
        <v>47</v>
      </c>
    </row>
    <row r="48" spans="1:7" ht="22.8" x14ac:dyDescent="0.4">
      <c r="A48" s="131" t="s">
        <v>131</v>
      </c>
      <c r="B48" s="59">
        <v>1</v>
      </c>
      <c r="C48" s="142">
        <f>+Лист4!$C$8</f>
        <v>6524600</v>
      </c>
      <c r="D48" s="89">
        <f>+B48*Лист4!$C$8</f>
        <v>6524600</v>
      </c>
      <c r="E48" s="60">
        <v>10</v>
      </c>
      <c r="F48" s="143" t="s">
        <v>257</v>
      </c>
      <c r="G48" s="146" t="s">
        <v>48</v>
      </c>
    </row>
    <row r="49" spans="1:7" ht="22.8" x14ac:dyDescent="0.4">
      <c r="A49" s="131" t="s">
        <v>131</v>
      </c>
      <c r="B49" s="59">
        <v>1</v>
      </c>
      <c r="C49" s="142">
        <f>+Лист4!$C$8</f>
        <v>6524600</v>
      </c>
      <c r="D49" s="89">
        <f>+B49*Лист4!$C$8</f>
        <v>6524600</v>
      </c>
      <c r="E49" s="60">
        <v>10</v>
      </c>
      <c r="F49" s="143" t="s">
        <v>26</v>
      </c>
      <c r="G49" s="146" t="s">
        <v>49</v>
      </c>
    </row>
    <row r="50" spans="1:7" ht="22.8" x14ac:dyDescent="0.4">
      <c r="A50" s="130" t="s">
        <v>5</v>
      </c>
      <c r="B50" s="71">
        <f>SUM(B47:B49)</f>
        <v>3</v>
      </c>
      <c r="C50" s="71"/>
      <c r="D50" s="90">
        <f>SUM(D47:D49)</f>
        <v>21438000</v>
      </c>
      <c r="E50" s="71"/>
      <c r="F50" s="143"/>
    </row>
    <row r="52" spans="1:7" ht="22.8" x14ac:dyDescent="0.4">
      <c r="A52" s="54" t="s">
        <v>366</v>
      </c>
      <c r="B52" s="24"/>
      <c r="C52" s="24"/>
      <c r="D52" s="120"/>
      <c r="E52" s="48"/>
      <c r="F52" s="138"/>
    </row>
    <row r="53" spans="1:7" ht="22.8" x14ac:dyDescent="0.4">
      <c r="A53" s="132" t="s">
        <v>315</v>
      </c>
      <c r="B53" s="71">
        <v>1</v>
      </c>
      <c r="C53" s="142">
        <f>+Лист4!$C$15</f>
        <v>8430300</v>
      </c>
      <c r="D53" s="90">
        <f>+Лист4!C15</f>
        <v>8430300</v>
      </c>
      <c r="E53" s="60">
        <v>15</v>
      </c>
      <c r="F53" s="143"/>
    </row>
    <row r="54" spans="1:7" ht="22.8" x14ac:dyDescent="0.4">
      <c r="A54" s="81" t="s">
        <v>368</v>
      </c>
      <c r="B54" s="56"/>
      <c r="C54" s="56"/>
      <c r="D54" s="55"/>
      <c r="E54" s="35"/>
      <c r="F54" s="138"/>
    </row>
    <row r="55" spans="1:7" ht="22.8" x14ac:dyDescent="0.4">
      <c r="A55" s="131" t="s">
        <v>285</v>
      </c>
      <c r="B55" s="59">
        <v>1</v>
      </c>
      <c r="C55" s="142">
        <f>+Лист4!$C$13</f>
        <v>8388800</v>
      </c>
      <c r="D55" s="89">
        <f>+B55*Лист4!$C$13</f>
        <v>8388800</v>
      </c>
      <c r="E55" s="60">
        <v>14</v>
      </c>
      <c r="F55" s="143"/>
    </row>
    <row r="56" spans="1:7" ht="22.8" x14ac:dyDescent="0.4">
      <c r="A56" s="131" t="s">
        <v>286</v>
      </c>
      <c r="B56" s="59">
        <v>1</v>
      </c>
      <c r="C56" s="142">
        <f>+Лист4!$C$11</f>
        <v>7914100</v>
      </c>
      <c r="D56" s="89">
        <f>+B56*Лист4!$C$11</f>
        <v>7914100</v>
      </c>
      <c r="E56" s="60">
        <v>13</v>
      </c>
      <c r="F56" s="138"/>
    </row>
    <row r="57" spans="1:7" ht="22.8" x14ac:dyDescent="0.4">
      <c r="A57" s="131" t="s">
        <v>316</v>
      </c>
      <c r="B57" s="59">
        <v>1</v>
      </c>
      <c r="C57" s="142">
        <f>+Лист4!$C$10</f>
        <v>7442800</v>
      </c>
      <c r="D57" s="89">
        <f>+B57*Лист4!$C$10</f>
        <v>7442800</v>
      </c>
      <c r="E57" s="60">
        <v>12</v>
      </c>
      <c r="F57" s="138"/>
    </row>
    <row r="58" spans="1:7" ht="22.8" x14ac:dyDescent="0.4">
      <c r="A58" s="131" t="s">
        <v>316</v>
      </c>
      <c r="B58" s="59">
        <v>1</v>
      </c>
      <c r="C58" s="142">
        <f>+Лист4!$C$10</f>
        <v>7442800</v>
      </c>
      <c r="D58" s="89">
        <f>+B58*Лист4!$C$10</f>
        <v>7442800</v>
      </c>
      <c r="E58" s="60">
        <v>12</v>
      </c>
      <c r="F58" s="138"/>
    </row>
    <row r="59" spans="1:7" ht="22.8" x14ac:dyDescent="0.4">
      <c r="A59" s="131" t="s">
        <v>316</v>
      </c>
      <c r="B59" s="59">
        <v>1</v>
      </c>
      <c r="C59" s="142">
        <f>+Лист4!$C$10</f>
        <v>7442800</v>
      </c>
      <c r="D59" s="89">
        <f>+B59*Лист4!$C$10</f>
        <v>7442800</v>
      </c>
      <c r="E59" s="60">
        <v>12</v>
      </c>
      <c r="F59" s="138"/>
    </row>
    <row r="60" spans="1:7" ht="22.8" x14ac:dyDescent="0.4">
      <c r="A60" s="131" t="s">
        <v>316</v>
      </c>
      <c r="B60" s="59">
        <v>1</v>
      </c>
      <c r="C60" s="142">
        <f>+Лист4!$C$10</f>
        <v>7442800</v>
      </c>
      <c r="D60" s="89">
        <f>+B60*Лист4!$C$10</f>
        <v>7442800</v>
      </c>
      <c r="E60" s="60">
        <v>12</v>
      </c>
      <c r="F60" s="138"/>
    </row>
    <row r="61" spans="1:7" ht="22.8" x14ac:dyDescent="0.4">
      <c r="A61" s="131" t="s">
        <v>316</v>
      </c>
      <c r="B61" s="59">
        <v>1</v>
      </c>
      <c r="C61" s="142">
        <f>+Лист4!$C$10</f>
        <v>7442800</v>
      </c>
      <c r="D61" s="89">
        <f>+B61*Лист4!$C$10</f>
        <v>7442800</v>
      </c>
      <c r="E61" s="60">
        <v>12</v>
      </c>
      <c r="F61" s="138"/>
    </row>
    <row r="62" spans="1:7" ht="22.8" x14ac:dyDescent="0.4">
      <c r="A62" s="131" t="s">
        <v>316</v>
      </c>
      <c r="B62" s="59">
        <v>1</v>
      </c>
      <c r="C62" s="142">
        <f>+Лист4!$C$10</f>
        <v>7442800</v>
      </c>
      <c r="D62" s="89">
        <f>+B62*Лист4!$C$10</f>
        <v>7442800</v>
      </c>
      <c r="E62" s="60">
        <v>12</v>
      </c>
      <c r="F62" s="138"/>
    </row>
    <row r="63" spans="1:7" ht="22.8" x14ac:dyDescent="0.4">
      <c r="A63" s="131" t="s">
        <v>317</v>
      </c>
      <c r="B63" s="59">
        <v>1</v>
      </c>
      <c r="C63" s="142">
        <f>+Лист4!$C$9</f>
        <v>6978500</v>
      </c>
      <c r="D63" s="89">
        <f>+B63*Лист4!$C$9</f>
        <v>6978500</v>
      </c>
      <c r="E63" s="60">
        <v>11</v>
      </c>
      <c r="F63" s="138"/>
    </row>
    <row r="64" spans="1:7" ht="22.8" x14ac:dyDescent="0.4">
      <c r="A64" s="131" t="s">
        <v>317</v>
      </c>
      <c r="B64" s="59">
        <v>1</v>
      </c>
      <c r="C64" s="142">
        <f>+Лист4!$C$9</f>
        <v>6978500</v>
      </c>
      <c r="D64" s="89">
        <f>+B64*Лист4!$C$9</f>
        <v>6978500</v>
      </c>
      <c r="E64" s="60">
        <v>11</v>
      </c>
      <c r="F64" s="138"/>
    </row>
    <row r="65" spans="1:6" ht="22.8" x14ac:dyDescent="0.4">
      <c r="A65" s="131" t="s">
        <v>317</v>
      </c>
      <c r="B65" s="59">
        <v>1</v>
      </c>
      <c r="C65" s="142">
        <f>+Лист4!$C$9</f>
        <v>6978500</v>
      </c>
      <c r="D65" s="89">
        <f>+B65*Лист4!$C$9</f>
        <v>6978500</v>
      </c>
      <c r="E65" s="60">
        <v>11</v>
      </c>
      <c r="F65" s="138"/>
    </row>
    <row r="66" spans="1:6" ht="22.8" x14ac:dyDescent="0.4">
      <c r="A66" s="131" t="s">
        <v>317</v>
      </c>
      <c r="B66" s="59">
        <v>1</v>
      </c>
      <c r="C66" s="142">
        <f>+Лист4!$C$9</f>
        <v>6978500</v>
      </c>
      <c r="D66" s="89">
        <f>+B66*Лист4!$C$9</f>
        <v>6978500</v>
      </c>
      <c r="E66" s="60">
        <v>11</v>
      </c>
      <c r="F66" s="138"/>
    </row>
    <row r="67" spans="1:6" ht="22.8" x14ac:dyDescent="0.4">
      <c r="A67" s="131" t="s">
        <v>317</v>
      </c>
      <c r="B67" s="59">
        <v>1</v>
      </c>
      <c r="C67" s="142">
        <f>+Лист4!$C$9</f>
        <v>6978500</v>
      </c>
      <c r="D67" s="89">
        <f>+B67*Лист4!$C$9</f>
        <v>6978500</v>
      </c>
      <c r="E67" s="60">
        <v>11</v>
      </c>
      <c r="F67" s="138"/>
    </row>
    <row r="68" spans="1:6" ht="22.8" x14ac:dyDescent="0.4">
      <c r="A68" s="131" t="s">
        <v>317</v>
      </c>
      <c r="B68" s="59">
        <v>1</v>
      </c>
      <c r="C68" s="142">
        <f>+Лист4!$C$9</f>
        <v>6978500</v>
      </c>
      <c r="D68" s="89">
        <f>+B68*Лист4!$C$9</f>
        <v>6978500</v>
      </c>
      <c r="E68" s="60">
        <v>11</v>
      </c>
      <c r="F68" s="138"/>
    </row>
    <row r="69" spans="1:6" ht="22.8" x14ac:dyDescent="0.4">
      <c r="A69" s="131" t="s">
        <v>317</v>
      </c>
      <c r="B69" s="59">
        <v>1</v>
      </c>
      <c r="C69" s="142">
        <f>+Лист4!$C$9</f>
        <v>6978500</v>
      </c>
      <c r="D69" s="89">
        <f>+B69*Лист4!$C$9</f>
        <v>6978500</v>
      </c>
      <c r="E69" s="60">
        <v>11</v>
      </c>
      <c r="F69" s="138"/>
    </row>
    <row r="70" spans="1:6" ht="22.8" x14ac:dyDescent="0.4">
      <c r="A70" s="131" t="s">
        <v>317</v>
      </c>
      <c r="B70" s="59">
        <v>1</v>
      </c>
      <c r="C70" s="142">
        <f>+Лист4!$C$9</f>
        <v>6978500</v>
      </c>
      <c r="D70" s="89">
        <f>+B70*Лист4!$C$9</f>
        <v>6978500</v>
      </c>
      <c r="E70" s="60">
        <v>11</v>
      </c>
      <c r="F70" s="138"/>
    </row>
    <row r="71" spans="1:6" ht="22.8" x14ac:dyDescent="0.4">
      <c r="A71" s="131" t="s">
        <v>318</v>
      </c>
      <c r="B71" s="59">
        <v>1</v>
      </c>
      <c r="C71" s="142">
        <f>+Лист4!$C$8</f>
        <v>6524600</v>
      </c>
      <c r="D71" s="89">
        <f>+B71*Лист4!$C$8</f>
        <v>6524600</v>
      </c>
      <c r="E71" s="60">
        <v>10</v>
      </c>
      <c r="F71" s="143" t="s">
        <v>192</v>
      </c>
    </row>
    <row r="72" spans="1:6" ht="22.8" x14ac:dyDescent="0.4">
      <c r="A72" s="131" t="s">
        <v>318</v>
      </c>
      <c r="B72" s="59">
        <v>1</v>
      </c>
      <c r="C72" s="142">
        <f>+Лист4!$C$8</f>
        <v>6524600</v>
      </c>
      <c r="D72" s="89">
        <f>+B72*Лист4!$C$8</f>
        <v>6524600</v>
      </c>
      <c r="E72" s="60">
        <v>10</v>
      </c>
      <c r="F72" s="138"/>
    </row>
    <row r="73" spans="1:6" ht="22.8" x14ac:dyDescent="0.4">
      <c r="A73" s="131" t="s">
        <v>318</v>
      </c>
      <c r="B73" s="59">
        <v>1</v>
      </c>
      <c r="C73" s="142">
        <f>+Лист4!$C$8</f>
        <v>6524600</v>
      </c>
      <c r="D73" s="89">
        <f>+B73*Лист4!$C$8</f>
        <v>6524600</v>
      </c>
      <c r="E73" s="60">
        <v>10</v>
      </c>
      <c r="F73" s="138"/>
    </row>
    <row r="74" spans="1:6" ht="22.8" x14ac:dyDescent="0.4">
      <c r="A74" s="131" t="s">
        <v>318</v>
      </c>
      <c r="B74" s="59">
        <v>1</v>
      </c>
      <c r="C74" s="142">
        <f>+Лист4!$C$8</f>
        <v>6524600</v>
      </c>
      <c r="D74" s="89">
        <f>+B74*Лист4!$C$8</f>
        <v>6524600</v>
      </c>
      <c r="E74" s="60">
        <v>10</v>
      </c>
      <c r="F74" s="138"/>
    </row>
    <row r="75" spans="1:6" ht="22.8" x14ac:dyDescent="0.4">
      <c r="A75" s="131" t="s">
        <v>318</v>
      </c>
      <c r="B75" s="59">
        <v>1</v>
      </c>
      <c r="C75" s="142">
        <f>+Лист4!$C$8</f>
        <v>6524600</v>
      </c>
      <c r="D75" s="89">
        <f>+B75*Лист4!$C$8</f>
        <v>6524600</v>
      </c>
      <c r="E75" s="60">
        <v>10</v>
      </c>
      <c r="F75" s="138"/>
    </row>
    <row r="76" spans="1:6" ht="22.8" x14ac:dyDescent="0.4">
      <c r="A76" s="131" t="s">
        <v>318</v>
      </c>
      <c r="B76" s="59">
        <v>1</v>
      </c>
      <c r="C76" s="142">
        <f>+Лист4!$C$8</f>
        <v>6524600</v>
      </c>
      <c r="D76" s="89">
        <f>+B76*Лист4!$C$8</f>
        <v>6524600</v>
      </c>
      <c r="E76" s="60">
        <v>10</v>
      </c>
      <c r="F76" s="138"/>
    </row>
    <row r="77" spans="1:6" ht="22.8" x14ac:dyDescent="0.4">
      <c r="A77" s="131" t="s">
        <v>318</v>
      </c>
      <c r="B77" s="59">
        <v>1</v>
      </c>
      <c r="C77" s="142">
        <f>+Лист4!$C$8</f>
        <v>6524600</v>
      </c>
      <c r="D77" s="89">
        <f>+B77*Лист4!$C$8</f>
        <v>6524600</v>
      </c>
      <c r="E77" s="60">
        <v>10</v>
      </c>
      <c r="F77" s="138"/>
    </row>
    <row r="78" spans="1:6" ht="22.8" x14ac:dyDescent="0.4">
      <c r="A78" s="131" t="s">
        <v>318</v>
      </c>
      <c r="B78" s="59">
        <v>1</v>
      </c>
      <c r="C78" s="142">
        <f>+Лист4!$C$8</f>
        <v>6524600</v>
      </c>
      <c r="D78" s="89">
        <f>+B78*Лист4!$C$8</f>
        <v>6524600</v>
      </c>
      <c r="E78" s="60">
        <v>10</v>
      </c>
      <c r="F78" s="138"/>
    </row>
    <row r="79" spans="1:6" ht="22.8" x14ac:dyDescent="0.4">
      <c r="A79" s="131" t="s">
        <v>319</v>
      </c>
      <c r="B79" s="59">
        <v>1</v>
      </c>
      <c r="C79" s="142">
        <f>+Лист4!$C$7</f>
        <v>6081100</v>
      </c>
      <c r="D79" s="89">
        <f>+B79*Лист4!$C$7</f>
        <v>6081100</v>
      </c>
      <c r="E79" s="60">
        <v>9</v>
      </c>
      <c r="F79" s="138"/>
    </row>
    <row r="80" spans="1:6" ht="22.8" x14ac:dyDescent="0.4">
      <c r="A80" s="131" t="s">
        <v>319</v>
      </c>
      <c r="B80" s="59">
        <v>1</v>
      </c>
      <c r="C80" s="142">
        <f>+Лист4!$C$7</f>
        <v>6081100</v>
      </c>
      <c r="D80" s="89">
        <f>+B80*Лист4!$C$7</f>
        <v>6081100</v>
      </c>
      <c r="E80" s="60">
        <v>9</v>
      </c>
      <c r="F80" s="138"/>
    </row>
    <row r="81" spans="1:6" ht="22.8" x14ac:dyDescent="0.4">
      <c r="A81" s="131" t="s">
        <v>319</v>
      </c>
      <c r="B81" s="59">
        <v>1</v>
      </c>
      <c r="C81" s="142">
        <f>+Лист4!$C$7</f>
        <v>6081100</v>
      </c>
      <c r="D81" s="89">
        <f>+B81*Лист4!$C$7</f>
        <v>6081100</v>
      </c>
      <c r="E81" s="60">
        <v>9</v>
      </c>
      <c r="F81" s="138"/>
    </row>
    <row r="82" spans="1:6" ht="22.8" x14ac:dyDescent="0.4">
      <c r="A82" s="131" t="s">
        <v>319</v>
      </c>
      <c r="B82" s="59">
        <v>1</v>
      </c>
      <c r="C82" s="142">
        <f>+Лист4!$C$7</f>
        <v>6081100</v>
      </c>
      <c r="D82" s="89">
        <f>+B82*Лист4!$C$7</f>
        <v>6081100</v>
      </c>
      <c r="E82" s="60">
        <v>9</v>
      </c>
      <c r="F82" s="138"/>
    </row>
    <row r="83" spans="1:6" ht="22.8" x14ac:dyDescent="0.4">
      <c r="A83" s="131" t="s">
        <v>319</v>
      </c>
      <c r="B83" s="59">
        <v>1</v>
      </c>
      <c r="C83" s="142">
        <f>+Лист4!$C$7</f>
        <v>6081100</v>
      </c>
      <c r="D83" s="89">
        <f>+B83*Лист4!$C$7</f>
        <v>6081100</v>
      </c>
      <c r="E83" s="60">
        <v>9</v>
      </c>
      <c r="F83" s="138"/>
    </row>
    <row r="84" spans="1:6" ht="22.8" x14ac:dyDescent="0.4">
      <c r="A84" s="131" t="s">
        <v>319</v>
      </c>
      <c r="B84" s="59">
        <v>1</v>
      </c>
      <c r="C84" s="142">
        <f>+Лист4!$C$7</f>
        <v>6081100</v>
      </c>
      <c r="D84" s="89">
        <f>+B84*Лист4!$C$7</f>
        <v>6081100</v>
      </c>
      <c r="E84" s="60">
        <v>9</v>
      </c>
      <c r="F84" s="138"/>
    </row>
    <row r="85" spans="1:6" ht="22.8" x14ac:dyDescent="0.4">
      <c r="A85" s="131" t="s">
        <v>319</v>
      </c>
      <c r="B85" s="59">
        <v>1</v>
      </c>
      <c r="C85" s="142">
        <f>+Лист4!$C$7</f>
        <v>6081100</v>
      </c>
      <c r="D85" s="89">
        <f>+B85*Лист4!$C$7</f>
        <v>6081100</v>
      </c>
      <c r="E85" s="60">
        <v>9</v>
      </c>
      <c r="F85" s="138"/>
    </row>
    <row r="86" spans="1:6" ht="22.8" x14ac:dyDescent="0.4">
      <c r="A86" s="131" t="s">
        <v>319</v>
      </c>
      <c r="B86" s="59">
        <v>1</v>
      </c>
      <c r="C86" s="142">
        <f>+Лист4!$C$7</f>
        <v>6081100</v>
      </c>
      <c r="D86" s="89">
        <f>+B86*Лист4!$C$7</f>
        <v>6081100</v>
      </c>
      <c r="E86" s="60">
        <v>9</v>
      </c>
      <c r="F86" s="138"/>
    </row>
    <row r="87" spans="1:6" ht="22.8" x14ac:dyDescent="0.4">
      <c r="A87" s="131" t="s">
        <v>320</v>
      </c>
      <c r="B87" s="59">
        <v>1</v>
      </c>
      <c r="C87" s="142">
        <f>+Лист4!$C$6</f>
        <v>5648000</v>
      </c>
      <c r="D87" s="89">
        <f>+Лист4!$C$6*'Лист1 (2)'!B87</f>
        <v>5648000</v>
      </c>
      <c r="E87" s="60">
        <v>8</v>
      </c>
      <c r="F87" s="138"/>
    </row>
    <row r="88" spans="1:6" ht="22.8" x14ac:dyDescent="0.4">
      <c r="A88" s="131" t="s">
        <v>320</v>
      </c>
      <c r="B88" s="59">
        <v>1</v>
      </c>
      <c r="C88" s="142">
        <f>+Лист4!$C$6</f>
        <v>5648000</v>
      </c>
      <c r="D88" s="89">
        <f>+Лист4!$C$6*'Лист1 (2)'!B88</f>
        <v>5648000</v>
      </c>
      <c r="E88" s="60">
        <v>8</v>
      </c>
      <c r="F88" s="138"/>
    </row>
    <row r="89" spans="1:6" ht="22.8" x14ac:dyDescent="0.4">
      <c r="A89" s="131" t="s">
        <v>320</v>
      </c>
      <c r="B89" s="59">
        <v>1</v>
      </c>
      <c r="C89" s="142">
        <f>+Лист4!$C$6</f>
        <v>5648000</v>
      </c>
      <c r="D89" s="89">
        <f>+Лист4!$C$6*'Лист1 (2)'!B89</f>
        <v>5648000</v>
      </c>
      <c r="E89" s="60">
        <v>8</v>
      </c>
      <c r="F89" s="138"/>
    </row>
    <row r="90" spans="1:6" ht="22.8" x14ac:dyDescent="0.4">
      <c r="A90" s="131" t="s">
        <v>320</v>
      </c>
      <c r="B90" s="59">
        <v>1</v>
      </c>
      <c r="C90" s="142">
        <f>+Лист4!$C$6</f>
        <v>5648000</v>
      </c>
      <c r="D90" s="89">
        <f>+Лист4!$C$6*'Лист1 (2)'!B90</f>
        <v>5648000</v>
      </c>
      <c r="E90" s="60">
        <v>8</v>
      </c>
      <c r="F90" s="138"/>
    </row>
    <row r="91" spans="1:6" ht="22.8" x14ac:dyDescent="0.4">
      <c r="A91" s="131" t="s">
        <v>320</v>
      </c>
      <c r="B91" s="59">
        <v>1</v>
      </c>
      <c r="C91" s="142">
        <f>+Лист4!$C$6</f>
        <v>5648000</v>
      </c>
      <c r="D91" s="89">
        <f>+Лист4!$C$6*'Лист1 (2)'!B91</f>
        <v>5648000</v>
      </c>
      <c r="E91" s="60">
        <v>8</v>
      </c>
      <c r="F91" s="138"/>
    </row>
    <row r="92" spans="1:6" ht="22.8" x14ac:dyDescent="0.4">
      <c r="A92" s="131" t="s">
        <v>320</v>
      </c>
      <c r="B92" s="59">
        <v>1</v>
      </c>
      <c r="C92" s="142">
        <f>+Лист4!$C$6</f>
        <v>5648000</v>
      </c>
      <c r="D92" s="89">
        <f>+Лист4!$C$6*'Лист1 (2)'!B92</f>
        <v>5648000</v>
      </c>
      <c r="E92" s="60">
        <v>8</v>
      </c>
      <c r="F92" s="138"/>
    </row>
    <row r="93" spans="1:6" ht="22.8" x14ac:dyDescent="0.4">
      <c r="A93" s="131" t="s">
        <v>320</v>
      </c>
      <c r="B93" s="59">
        <v>1</v>
      </c>
      <c r="C93" s="142">
        <f>+Лист4!$C$6</f>
        <v>5648000</v>
      </c>
      <c r="D93" s="89">
        <f>+Лист4!$C$6*'Лист1 (2)'!B93</f>
        <v>5648000</v>
      </c>
      <c r="E93" s="60">
        <v>8</v>
      </c>
      <c r="F93" s="138"/>
    </row>
    <row r="94" spans="1:6" ht="22.8" x14ac:dyDescent="0.4">
      <c r="A94" s="131" t="s">
        <v>320</v>
      </c>
      <c r="B94" s="59">
        <v>1</v>
      </c>
      <c r="C94" s="142">
        <f>+Лист4!$C$6</f>
        <v>5648000</v>
      </c>
      <c r="D94" s="89">
        <f>+Лист4!$C$6*'Лист1 (2)'!B94</f>
        <v>5648000</v>
      </c>
      <c r="E94" s="60">
        <v>8</v>
      </c>
      <c r="F94" s="138"/>
    </row>
    <row r="95" spans="1:6" ht="22.8" x14ac:dyDescent="0.4">
      <c r="A95" s="130" t="s">
        <v>5</v>
      </c>
      <c r="B95" s="71">
        <f>SUM(B55:B94)</f>
        <v>40</v>
      </c>
      <c r="C95" s="71"/>
      <c r="D95" s="90">
        <f>SUM(D55:D94)</f>
        <v>262817300</v>
      </c>
      <c r="E95" s="60"/>
      <c r="F95" s="138"/>
    </row>
    <row r="96" spans="1:6" ht="22.8" x14ac:dyDescent="0.4">
      <c r="A96" s="134" t="s">
        <v>367</v>
      </c>
      <c r="B96" s="59"/>
      <c r="C96" s="59"/>
      <c r="D96" s="89"/>
      <c r="E96" s="60"/>
      <c r="F96" s="138"/>
    </row>
    <row r="97" spans="1:6" ht="22.8" x14ac:dyDescent="0.4">
      <c r="A97" s="131" t="s">
        <v>287</v>
      </c>
      <c r="B97" s="59">
        <v>1</v>
      </c>
      <c r="C97" s="142">
        <f>+Лист4!$C$13</f>
        <v>8388800</v>
      </c>
      <c r="D97" s="89">
        <f>+B97*Лист4!$C$13</f>
        <v>8388800</v>
      </c>
      <c r="E97" s="60">
        <v>14</v>
      </c>
      <c r="F97" s="138"/>
    </row>
    <row r="98" spans="1:6" ht="22.8" x14ac:dyDescent="0.4">
      <c r="A98" s="131" t="s">
        <v>288</v>
      </c>
      <c r="B98" s="59">
        <v>1</v>
      </c>
      <c r="C98" s="142">
        <f>+Лист4!$C$11</f>
        <v>7914100</v>
      </c>
      <c r="D98" s="89">
        <f>+B98*Лист4!$C$11</f>
        <v>7914100</v>
      </c>
      <c r="E98" s="60">
        <v>13</v>
      </c>
      <c r="F98" s="138"/>
    </row>
    <row r="99" spans="1:6" ht="22.8" x14ac:dyDescent="0.4">
      <c r="A99" s="131" t="s">
        <v>316</v>
      </c>
      <c r="B99" s="59">
        <v>1</v>
      </c>
      <c r="C99" s="142">
        <f>+Лист4!$C$10</f>
        <v>7442800</v>
      </c>
      <c r="D99" s="89">
        <f>+B99*Лист4!$C$10</f>
        <v>7442800</v>
      </c>
      <c r="E99" s="60">
        <v>12</v>
      </c>
      <c r="F99" s="138"/>
    </row>
    <row r="100" spans="1:6" ht="22.8" x14ac:dyDescent="0.4">
      <c r="A100" s="131" t="s">
        <v>317</v>
      </c>
      <c r="B100" s="59">
        <v>1</v>
      </c>
      <c r="C100" s="142">
        <f>+Лист4!$C$9</f>
        <v>6978500</v>
      </c>
      <c r="D100" s="89">
        <f>+B100*Лист4!$C$9</f>
        <v>6978500</v>
      </c>
      <c r="E100" s="60">
        <v>11</v>
      </c>
      <c r="F100" s="138"/>
    </row>
    <row r="101" spans="1:6" ht="22.8" x14ac:dyDescent="0.4">
      <c r="A101" s="131" t="s">
        <v>318</v>
      </c>
      <c r="B101" s="59">
        <v>1</v>
      </c>
      <c r="C101" s="142">
        <f>+Лист4!$C$8</f>
        <v>6524600</v>
      </c>
      <c r="D101" s="89">
        <f>+B101*Лист4!$C$8</f>
        <v>6524600</v>
      </c>
      <c r="E101" s="60">
        <v>10</v>
      </c>
      <c r="F101" s="138"/>
    </row>
    <row r="102" spans="1:6" ht="22.8" x14ac:dyDescent="0.4">
      <c r="A102" s="131" t="s">
        <v>319</v>
      </c>
      <c r="B102" s="59">
        <v>1</v>
      </c>
      <c r="C102" s="142">
        <f>+Лист4!$C$7</f>
        <v>6081100</v>
      </c>
      <c r="D102" s="89">
        <f>+B102*Лист4!$C$7</f>
        <v>6081100</v>
      </c>
      <c r="E102" s="60">
        <v>9</v>
      </c>
      <c r="F102" s="138"/>
    </row>
    <row r="103" spans="1:6" ht="22.8" x14ac:dyDescent="0.4">
      <c r="A103" s="131" t="s">
        <v>320</v>
      </c>
      <c r="B103" s="59">
        <v>1</v>
      </c>
      <c r="C103" s="142">
        <f>+Лист4!$C$6</f>
        <v>5648000</v>
      </c>
      <c r="D103" s="89">
        <f>+Лист4!$C$6*'Лист1 (2)'!B103</f>
        <v>5648000</v>
      </c>
      <c r="E103" s="60">
        <v>8</v>
      </c>
      <c r="F103" s="138"/>
    </row>
    <row r="104" spans="1:6" ht="22.8" x14ac:dyDescent="0.4">
      <c r="A104" s="130" t="s">
        <v>5</v>
      </c>
      <c r="B104" s="71">
        <f>SUM(B97:B103)</f>
        <v>7</v>
      </c>
      <c r="C104" s="71"/>
      <c r="D104" s="90">
        <f>SUM(D97:D103)</f>
        <v>48977900</v>
      </c>
      <c r="E104" s="60"/>
      <c r="F104" s="138"/>
    </row>
    <row r="105" spans="1:6" ht="22.8" x14ac:dyDescent="0.4">
      <c r="A105" s="132" t="s">
        <v>369</v>
      </c>
      <c r="B105" s="59"/>
      <c r="C105" s="59"/>
      <c r="D105" s="89"/>
      <c r="E105" s="60"/>
      <c r="F105" s="138"/>
    </row>
    <row r="106" spans="1:6" ht="22.8" x14ac:dyDescent="0.4">
      <c r="A106" s="131" t="s">
        <v>302</v>
      </c>
      <c r="B106" s="59">
        <v>1</v>
      </c>
      <c r="C106" s="142">
        <f>+Лист4!$C$11</f>
        <v>7914100</v>
      </c>
      <c r="D106" s="89">
        <f>+B106*Лист4!$C$11</f>
        <v>7914100</v>
      </c>
      <c r="E106" s="60">
        <v>13</v>
      </c>
      <c r="F106" s="138"/>
    </row>
    <row r="107" spans="1:6" ht="22.8" x14ac:dyDescent="0.4">
      <c r="A107" s="131" t="s">
        <v>322</v>
      </c>
      <c r="B107" s="59">
        <v>1</v>
      </c>
      <c r="C107" s="142">
        <f>+Лист4!$C$9</f>
        <v>6978500</v>
      </c>
      <c r="D107" s="89">
        <f>+B107*Лист4!$C$9</f>
        <v>6978500</v>
      </c>
      <c r="E107" s="60">
        <v>11</v>
      </c>
      <c r="F107" s="138"/>
    </row>
    <row r="108" spans="1:6" ht="22.8" x14ac:dyDescent="0.4">
      <c r="A108" s="131" t="s">
        <v>323</v>
      </c>
      <c r="B108" s="59">
        <v>1</v>
      </c>
      <c r="C108" s="142">
        <f>+Лист4!$C$8</f>
        <v>6524600</v>
      </c>
      <c r="D108" s="89">
        <f>+B108*Лист4!$C$8</f>
        <v>6524600</v>
      </c>
      <c r="E108" s="60">
        <v>10</v>
      </c>
      <c r="F108" s="138"/>
    </row>
    <row r="109" spans="1:6" ht="22.8" x14ac:dyDescent="0.4">
      <c r="A109" s="130" t="s">
        <v>5</v>
      </c>
      <c r="B109" s="71">
        <f>SUM(B106:B108)</f>
        <v>3</v>
      </c>
      <c r="C109" s="71"/>
      <c r="D109" s="90">
        <f>SUM(D106:D108)</f>
        <v>21417200</v>
      </c>
      <c r="E109" s="60"/>
      <c r="F109" s="138"/>
    </row>
    <row r="110" spans="1:6" ht="22.8" x14ac:dyDescent="0.4">
      <c r="A110" s="135" t="s">
        <v>370</v>
      </c>
      <c r="B110" s="59"/>
      <c r="C110" s="59"/>
      <c r="D110" s="89"/>
      <c r="E110" s="60"/>
      <c r="F110" s="138"/>
    </row>
    <row r="111" spans="1:6" ht="22.8" x14ac:dyDescent="0.4">
      <c r="A111" s="131" t="s">
        <v>270</v>
      </c>
      <c r="B111" s="59">
        <v>1</v>
      </c>
      <c r="C111" s="142">
        <f>+Лист4!$C$13</f>
        <v>8388800</v>
      </c>
      <c r="D111" s="89">
        <f>+B111*Лист4!$C$13</f>
        <v>8388800</v>
      </c>
      <c r="E111" s="60">
        <v>14</v>
      </c>
      <c r="F111" s="138"/>
    </row>
    <row r="112" spans="1:6" ht="22.8" x14ac:dyDescent="0.4">
      <c r="A112" s="131" t="s">
        <v>316</v>
      </c>
      <c r="B112" s="59">
        <v>1</v>
      </c>
      <c r="C112" s="142">
        <f>+Лист4!$C$10</f>
        <v>7442800</v>
      </c>
      <c r="D112" s="89">
        <f>+B112*Лист4!$C$10</f>
        <v>7442800</v>
      </c>
      <c r="E112" s="60">
        <v>12</v>
      </c>
      <c r="F112" s="138"/>
    </row>
    <row r="113" spans="1:6" ht="22.8" x14ac:dyDescent="0.4">
      <c r="A113" s="131" t="s">
        <v>317</v>
      </c>
      <c r="B113" s="59">
        <v>1</v>
      </c>
      <c r="C113" s="142">
        <f>+Лист4!$C$9</f>
        <v>6978500</v>
      </c>
      <c r="D113" s="89">
        <f>+B113*Лист4!$C$9</f>
        <v>6978500</v>
      </c>
      <c r="E113" s="60">
        <v>11</v>
      </c>
      <c r="F113" s="138"/>
    </row>
    <row r="114" spans="1:6" ht="22.8" x14ac:dyDescent="0.4">
      <c r="A114" s="131" t="s">
        <v>318</v>
      </c>
      <c r="B114" s="59">
        <v>1</v>
      </c>
      <c r="C114" s="142">
        <f>+Лист4!$C$8</f>
        <v>6524600</v>
      </c>
      <c r="D114" s="89">
        <f>+B114*Лист4!$C$8</f>
        <v>6524600</v>
      </c>
      <c r="E114" s="60">
        <v>10</v>
      </c>
      <c r="F114" s="138"/>
    </row>
    <row r="115" spans="1:6" s="99" customFormat="1" ht="22.8" x14ac:dyDescent="0.4">
      <c r="A115" s="132" t="s">
        <v>5</v>
      </c>
      <c r="B115" s="71">
        <f>SUM(B111:B114)</f>
        <v>4</v>
      </c>
      <c r="C115" s="71"/>
      <c r="D115" s="90">
        <f>SUM(D111:D114)</f>
        <v>29334700</v>
      </c>
      <c r="E115" s="72"/>
      <c r="F115" s="138"/>
    </row>
    <row r="116" spans="1:6" ht="22.8" x14ac:dyDescent="0.4">
      <c r="A116" s="81" t="s">
        <v>371</v>
      </c>
      <c r="B116" s="56"/>
      <c r="C116" s="56"/>
      <c r="D116" s="55"/>
      <c r="E116" s="35"/>
      <c r="F116" s="138"/>
    </row>
    <row r="117" spans="1:6" ht="22.8" x14ac:dyDescent="0.4">
      <c r="A117" s="134" t="s">
        <v>372</v>
      </c>
      <c r="B117" s="59"/>
      <c r="C117" s="59"/>
      <c r="D117" s="89"/>
      <c r="E117" s="60"/>
      <c r="F117" s="143"/>
    </row>
    <row r="118" spans="1:6" ht="22.8" x14ac:dyDescent="0.4">
      <c r="A118" s="131" t="s">
        <v>354</v>
      </c>
      <c r="B118" s="59">
        <v>1</v>
      </c>
      <c r="C118" s="142">
        <f>+Лист4!$C$13</f>
        <v>8388800</v>
      </c>
      <c r="D118" s="89">
        <f>+B118*Лист4!$C$13</f>
        <v>8388800</v>
      </c>
      <c r="E118" s="60">
        <v>14</v>
      </c>
      <c r="F118" s="143" t="s">
        <v>256</v>
      </c>
    </row>
    <row r="119" spans="1:6" ht="22.8" x14ac:dyDescent="0.4">
      <c r="A119" s="131" t="s">
        <v>23</v>
      </c>
      <c r="B119" s="59">
        <v>1</v>
      </c>
      <c r="C119" s="142">
        <f>+Лист4!$C$10</f>
        <v>7442800</v>
      </c>
      <c r="D119" s="89">
        <f>+B119*Лист4!$C$10</f>
        <v>7442800</v>
      </c>
      <c r="E119" s="60">
        <v>12</v>
      </c>
      <c r="F119" s="143" t="s">
        <v>9</v>
      </c>
    </row>
    <row r="120" spans="1:6" ht="22.8" x14ac:dyDescent="0.4">
      <c r="A120" s="79" t="s">
        <v>23</v>
      </c>
      <c r="B120" s="63">
        <v>1</v>
      </c>
      <c r="C120" s="150">
        <f>+Лист4!$C$10</f>
        <v>7442800</v>
      </c>
      <c r="D120" s="92">
        <f>+B120*Лист4!$C$10</f>
        <v>7442800</v>
      </c>
      <c r="E120" s="151">
        <v>12</v>
      </c>
      <c r="F120" s="143" t="s">
        <v>9</v>
      </c>
    </row>
    <row r="121" spans="1:6" ht="22.8" x14ac:dyDescent="0.4">
      <c r="A121" s="131" t="s">
        <v>131</v>
      </c>
      <c r="B121" s="59">
        <v>1</v>
      </c>
      <c r="C121" s="142">
        <f>+Лист4!$C$8</f>
        <v>6524600</v>
      </c>
      <c r="D121" s="89">
        <f>+B121*Лист4!$C$8</f>
        <v>6524600</v>
      </c>
      <c r="E121" s="60">
        <v>10</v>
      </c>
      <c r="F121" s="143" t="s">
        <v>246</v>
      </c>
    </row>
    <row r="122" spans="1:6" ht="22.8" x14ac:dyDescent="0.4">
      <c r="A122" s="79" t="s">
        <v>131</v>
      </c>
      <c r="B122" s="63">
        <v>1</v>
      </c>
      <c r="C122" s="150">
        <v>6524600</v>
      </c>
      <c r="D122" s="92">
        <v>6524600</v>
      </c>
      <c r="E122" s="151">
        <v>10</v>
      </c>
      <c r="F122" s="143" t="s">
        <v>346</v>
      </c>
    </row>
    <row r="123" spans="1:6" s="99" customFormat="1" ht="22.8" x14ac:dyDescent="0.4">
      <c r="A123" s="132" t="s">
        <v>5</v>
      </c>
      <c r="B123" s="71">
        <f>SUM(B118:B122)</f>
        <v>5</v>
      </c>
      <c r="C123" s="71"/>
      <c r="D123" s="90">
        <f>SUM(D118:D122)</f>
        <v>36323600</v>
      </c>
      <c r="E123" s="72"/>
      <c r="F123" s="143"/>
    </row>
    <row r="124" spans="1:6" ht="44.4" x14ac:dyDescent="0.4">
      <c r="A124" s="81" t="s">
        <v>373</v>
      </c>
      <c r="B124" s="56"/>
      <c r="C124" s="56"/>
      <c r="D124" s="55"/>
      <c r="E124" s="35"/>
      <c r="F124" s="138"/>
    </row>
    <row r="125" spans="1:6" ht="22.8" x14ac:dyDescent="0.4">
      <c r="A125" s="131" t="s">
        <v>15</v>
      </c>
      <c r="B125" s="59">
        <v>1</v>
      </c>
      <c r="C125" s="142">
        <f>+Лист4!$C$13</f>
        <v>8388800</v>
      </c>
      <c r="D125" s="89">
        <f>+B125*Лист4!$C$13</f>
        <v>8388800</v>
      </c>
      <c r="E125" s="60">
        <v>14</v>
      </c>
      <c r="F125" s="143" t="s">
        <v>56</v>
      </c>
    </row>
    <row r="126" spans="1:6" ht="22.8" x14ac:dyDescent="0.4">
      <c r="A126" s="131" t="s">
        <v>52</v>
      </c>
      <c r="B126" s="59">
        <v>1</v>
      </c>
      <c r="C126" s="142">
        <f>+Лист4!$C$9</f>
        <v>6978500</v>
      </c>
      <c r="D126" s="89">
        <f>+B126*Лист4!$C$9</f>
        <v>6978500</v>
      </c>
      <c r="E126" s="60">
        <v>11</v>
      </c>
      <c r="F126" s="143" t="s">
        <v>175</v>
      </c>
    </row>
    <row r="127" spans="1:6" ht="22.8" x14ac:dyDescent="0.4">
      <c r="A127" s="131" t="s">
        <v>131</v>
      </c>
      <c r="B127" s="59">
        <v>1</v>
      </c>
      <c r="C127" s="142">
        <f>+Лист4!$C$8</f>
        <v>6524600</v>
      </c>
      <c r="D127" s="89">
        <f>+B127*Лист4!$C$8</f>
        <v>6524600</v>
      </c>
      <c r="E127" s="60">
        <v>10</v>
      </c>
      <c r="F127" s="143" t="s">
        <v>202</v>
      </c>
    </row>
    <row r="128" spans="1:6" ht="22.8" x14ac:dyDescent="0.4">
      <c r="A128" s="131" t="s">
        <v>197</v>
      </c>
      <c r="B128" s="59">
        <v>1</v>
      </c>
      <c r="C128" s="142">
        <f>+Лист4!$C$7</f>
        <v>6081100</v>
      </c>
      <c r="D128" s="89">
        <f>+B128*Лист4!$C$7</f>
        <v>6081100</v>
      </c>
      <c r="E128" s="60">
        <v>9</v>
      </c>
      <c r="F128" s="143" t="s">
        <v>9</v>
      </c>
    </row>
    <row r="129" spans="1:6" s="99" customFormat="1" ht="22.8" x14ac:dyDescent="0.4">
      <c r="A129" s="132" t="s">
        <v>5</v>
      </c>
      <c r="B129" s="71">
        <f>SUM(B125:B128)</f>
        <v>4</v>
      </c>
      <c r="C129" s="71"/>
      <c r="D129" s="90">
        <f>SUM(D125:D128)</f>
        <v>27973000</v>
      </c>
      <c r="E129" s="72"/>
      <c r="F129" s="143"/>
    </row>
    <row r="130" spans="1:6" ht="22.8" x14ac:dyDescent="0.4">
      <c r="A130" s="134" t="s">
        <v>374</v>
      </c>
      <c r="B130" s="59"/>
      <c r="C130" s="59"/>
      <c r="D130" s="89"/>
      <c r="E130" s="60"/>
      <c r="F130" s="143"/>
    </row>
    <row r="131" spans="1:6" ht="22.8" x14ac:dyDescent="0.4">
      <c r="A131" s="131" t="s">
        <v>15</v>
      </c>
      <c r="B131" s="59">
        <v>1</v>
      </c>
      <c r="C131" s="142">
        <f>+Лист4!$C$13</f>
        <v>8388800</v>
      </c>
      <c r="D131" s="89">
        <f>+B131*Лист4!$C$13</f>
        <v>8388800</v>
      </c>
      <c r="E131" s="60">
        <v>14</v>
      </c>
      <c r="F131" s="143" t="s">
        <v>347</v>
      </c>
    </row>
    <row r="132" spans="1:6" ht="22.8" x14ac:dyDescent="0.4">
      <c r="A132" s="131" t="s">
        <v>52</v>
      </c>
      <c r="B132" s="59">
        <v>1</v>
      </c>
      <c r="C132" s="142">
        <f>+Лист4!$C$9</f>
        <v>6978500</v>
      </c>
      <c r="D132" s="89">
        <f>+B132*Лист4!$C$9</f>
        <v>6978500</v>
      </c>
      <c r="E132" s="60">
        <v>11</v>
      </c>
      <c r="F132" s="143" t="s">
        <v>169</v>
      </c>
    </row>
    <row r="133" spans="1:6" ht="22.8" x14ac:dyDescent="0.4">
      <c r="A133" s="131" t="s">
        <v>131</v>
      </c>
      <c r="B133" s="59">
        <v>1</v>
      </c>
      <c r="C133" s="142">
        <f>+Лист4!$C$8</f>
        <v>6524600</v>
      </c>
      <c r="D133" s="89">
        <f>+B133*Лист4!$C$8</f>
        <v>6524600</v>
      </c>
      <c r="E133" s="60">
        <v>10</v>
      </c>
      <c r="F133" s="143" t="s">
        <v>210</v>
      </c>
    </row>
    <row r="134" spans="1:6" s="99" customFormat="1" ht="22.8" x14ac:dyDescent="0.4">
      <c r="A134" s="132" t="s">
        <v>5</v>
      </c>
      <c r="B134" s="71">
        <f>SUM(B131:B133)</f>
        <v>3</v>
      </c>
      <c r="C134" s="71"/>
      <c r="D134" s="90">
        <f>SUM(D131:D133)</f>
        <v>21891900</v>
      </c>
      <c r="E134" s="72"/>
      <c r="F134" s="143"/>
    </row>
    <row r="135" spans="1:6" ht="22.8" x14ac:dyDescent="0.4">
      <c r="A135" s="61" t="s">
        <v>375</v>
      </c>
      <c r="B135" s="56"/>
      <c r="C135" s="56"/>
      <c r="D135" s="55"/>
      <c r="E135" s="35"/>
      <c r="F135" s="138"/>
    </row>
    <row r="136" spans="1:6" ht="24" customHeight="1" x14ac:dyDescent="0.4">
      <c r="A136" s="262" t="s">
        <v>376</v>
      </c>
      <c r="B136" s="262"/>
      <c r="C136" s="102"/>
      <c r="D136" s="102"/>
      <c r="E136" s="35"/>
      <c r="F136" s="138"/>
    </row>
    <row r="137" spans="1:6" ht="22.8" x14ac:dyDescent="0.4">
      <c r="A137" s="131" t="s">
        <v>355</v>
      </c>
      <c r="B137" s="59">
        <v>1</v>
      </c>
      <c r="C137" s="142">
        <f>+Лист4!$C$13</f>
        <v>8388800</v>
      </c>
      <c r="D137" s="89">
        <f>+B137*Лист4!$C$13</f>
        <v>8388800</v>
      </c>
      <c r="E137" s="60">
        <v>14</v>
      </c>
      <c r="F137" s="143" t="s">
        <v>25</v>
      </c>
    </row>
    <row r="138" spans="1:6" ht="45.6" x14ac:dyDescent="0.4">
      <c r="A138" s="131" t="s">
        <v>356</v>
      </c>
      <c r="B138" s="59">
        <v>1</v>
      </c>
      <c r="C138" s="142">
        <f>+Лист4!$C$11</f>
        <v>7914100</v>
      </c>
      <c r="D138" s="89">
        <f>+B138*Лист4!$C$11</f>
        <v>7914100</v>
      </c>
      <c r="E138" s="60">
        <v>13</v>
      </c>
      <c r="F138" s="143" t="s">
        <v>135</v>
      </c>
    </row>
    <row r="139" spans="1:6" ht="63.75" customHeight="1" x14ac:dyDescent="0.4">
      <c r="A139" s="131" t="s">
        <v>357</v>
      </c>
      <c r="B139" s="59">
        <v>1</v>
      </c>
      <c r="C139" s="142">
        <f>+Лист4!$C$10</f>
        <v>7442800</v>
      </c>
      <c r="D139" s="89">
        <f>+B139*Лист4!$C$11</f>
        <v>7914100</v>
      </c>
      <c r="E139" s="60">
        <v>13</v>
      </c>
      <c r="F139" s="143" t="s">
        <v>130</v>
      </c>
    </row>
    <row r="140" spans="1:6" ht="22.8" x14ac:dyDescent="0.4">
      <c r="A140" s="131" t="s">
        <v>316</v>
      </c>
      <c r="B140" s="59">
        <v>1</v>
      </c>
      <c r="C140" s="142">
        <f>+Лист4!$C$10</f>
        <v>7442800</v>
      </c>
      <c r="D140" s="89">
        <f>+B140*Лист4!$C$10</f>
        <v>7442800</v>
      </c>
      <c r="E140" s="60">
        <v>12</v>
      </c>
      <c r="F140" s="143" t="s">
        <v>27</v>
      </c>
    </row>
    <row r="141" spans="1:6" ht="22.8" x14ac:dyDescent="0.4">
      <c r="A141" s="131" t="s">
        <v>316</v>
      </c>
      <c r="B141" s="59">
        <v>1</v>
      </c>
      <c r="C141" s="142">
        <f>+Лист4!$C$10</f>
        <v>7442800</v>
      </c>
      <c r="D141" s="89">
        <f>+B141*Лист4!$C$10</f>
        <v>7442800</v>
      </c>
      <c r="E141" s="60">
        <v>12</v>
      </c>
      <c r="F141" s="143" t="s">
        <v>348</v>
      </c>
    </row>
    <row r="142" spans="1:6" ht="22.8" x14ac:dyDescent="0.4">
      <c r="A142" s="131" t="s">
        <v>317</v>
      </c>
      <c r="B142" s="59">
        <v>1</v>
      </c>
      <c r="C142" s="142">
        <f>+Лист4!$C$9</f>
        <v>6978500</v>
      </c>
      <c r="D142" s="89">
        <f>+B142*Лист4!$C$9</f>
        <v>6978500</v>
      </c>
      <c r="E142" s="60">
        <v>11</v>
      </c>
      <c r="F142" s="143" t="s">
        <v>201</v>
      </c>
    </row>
    <row r="143" spans="1:6" ht="22.8" x14ac:dyDescent="0.4">
      <c r="A143" s="26" t="s">
        <v>317</v>
      </c>
      <c r="B143" s="56">
        <v>1</v>
      </c>
      <c r="C143" s="82">
        <f>+Лист4!$C$9</f>
        <v>6978500</v>
      </c>
      <c r="D143" s="55">
        <f>+B143*Лист4!$C$9</f>
        <v>6978500</v>
      </c>
      <c r="E143" s="35">
        <v>11</v>
      </c>
      <c r="F143" s="138"/>
    </row>
    <row r="144" spans="1:6" ht="22.8" x14ac:dyDescent="0.4">
      <c r="A144" s="26" t="s">
        <v>317</v>
      </c>
      <c r="B144" s="56">
        <v>1</v>
      </c>
      <c r="C144" s="82">
        <f>+Лист4!$C$9</f>
        <v>6978500</v>
      </c>
      <c r="D144" s="55">
        <f>+B144*Лист4!$C$9</f>
        <v>6978500</v>
      </c>
      <c r="E144" s="35">
        <v>11</v>
      </c>
      <c r="F144" s="138"/>
    </row>
    <row r="145" spans="1:6" ht="22.8" x14ac:dyDescent="0.4">
      <c r="A145" s="26" t="s">
        <v>318</v>
      </c>
      <c r="B145" s="56">
        <v>1</v>
      </c>
      <c r="C145" s="82">
        <f>+Лист4!$C$8</f>
        <v>6524600</v>
      </c>
      <c r="D145" s="55">
        <f>+B145*Лист4!$C$8</f>
        <v>6524600</v>
      </c>
      <c r="E145" s="35">
        <v>10</v>
      </c>
      <c r="F145" s="138"/>
    </row>
    <row r="146" spans="1:6" ht="22.8" x14ac:dyDescent="0.4">
      <c r="A146" s="26" t="s">
        <v>318</v>
      </c>
      <c r="B146" s="56">
        <v>1</v>
      </c>
      <c r="C146" s="82">
        <f>+Лист4!$C$8</f>
        <v>6524600</v>
      </c>
      <c r="D146" s="55">
        <f>+B146*Лист4!$C$8</f>
        <v>6524600</v>
      </c>
      <c r="E146" s="35">
        <v>10</v>
      </c>
      <c r="F146" s="138"/>
    </row>
    <row r="147" spans="1:6" ht="22.8" x14ac:dyDescent="0.4">
      <c r="A147" s="26" t="s">
        <v>318</v>
      </c>
      <c r="B147" s="56">
        <v>1</v>
      </c>
      <c r="C147" s="82">
        <f>+Лист4!$C$8</f>
        <v>6524600</v>
      </c>
      <c r="D147" s="55">
        <f>+B147*Лист4!$C$8</f>
        <v>6524600</v>
      </c>
      <c r="E147" s="35">
        <v>10</v>
      </c>
      <c r="F147" s="138"/>
    </row>
    <row r="148" spans="1:6" ht="22.8" x14ac:dyDescent="0.4">
      <c r="A148" s="131" t="s">
        <v>319</v>
      </c>
      <c r="B148" s="59">
        <v>1</v>
      </c>
      <c r="C148" s="142">
        <f>+Лист4!$C$7</f>
        <v>6081100</v>
      </c>
      <c r="D148" s="89">
        <f>+B148*Лист4!$C$7</f>
        <v>6081100</v>
      </c>
      <c r="E148" s="60">
        <v>9</v>
      </c>
      <c r="F148" s="143" t="s">
        <v>30</v>
      </c>
    </row>
    <row r="149" spans="1:6" ht="22.8" x14ac:dyDescent="0.4">
      <c r="A149" s="131" t="s">
        <v>319</v>
      </c>
      <c r="B149" s="59">
        <v>1</v>
      </c>
      <c r="C149" s="142">
        <f>+Лист4!$C$7</f>
        <v>6081100</v>
      </c>
      <c r="D149" s="89">
        <f>+B149*Лист4!$C$7</f>
        <v>6081100</v>
      </c>
      <c r="E149" s="60">
        <v>9</v>
      </c>
      <c r="F149" s="143" t="s">
        <v>188</v>
      </c>
    </row>
    <row r="150" spans="1:6" ht="22.8" x14ac:dyDescent="0.4">
      <c r="A150" s="26" t="s">
        <v>319</v>
      </c>
      <c r="B150" s="56">
        <v>1</v>
      </c>
      <c r="C150" s="82">
        <f>+Лист4!$C$7</f>
        <v>6081100</v>
      </c>
      <c r="D150" s="55">
        <f>+B150*Лист4!$C$7</f>
        <v>6081100</v>
      </c>
      <c r="E150" s="35">
        <v>9</v>
      </c>
      <c r="F150" s="138" t="s">
        <v>9</v>
      </c>
    </row>
    <row r="151" spans="1:6" ht="22.8" x14ac:dyDescent="0.4">
      <c r="A151" s="131" t="s">
        <v>320</v>
      </c>
      <c r="B151" s="59">
        <v>1</v>
      </c>
      <c r="C151" s="142">
        <f>+Лист4!$C$6</f>
        <v>5648000</v>
      </c>
      <c r="D151" s="89">
        <f>+Лист4!$C$6*'Лист1 (2)'!B151</f>
        <v>5648000</v>
      </c>
      <c r="E151" s="60">
        <v>8</v>
      </c>
      <c r="F151" s="143" t="s">
        <v>167</v>
      </c>
    </row>
    <row r="152" spans="1:6" ht="22.8" x14ac:dyDescent="0.4">
      <c r="A152" s="131" t="s">
        <v>320</v>
      </c>
      <c r="B152" s="59">
        <v>1</v>
      </c>
      <c r="C152" s="142">
        <f>+Лист4!$C$6</f>
        <v>5648000</v>
      </c>
      <c r="D152" s="89">
        <f>+Лист4!$C$6*'Лист1 (2)'!B152</f>
        <v>5648000</v>
      </c>
      <c r="E152" s="60">
        <v>8</v>
      </c>
      <c r="F152" s="143" t="s">
        <v>349</v>
      </c>
    </row>
    <row r="153" spans="1:6" ht="22.8" x14ac:dyDescent="0.4">
      <c r="A153" s="131" t="s">
        <v>320</v>
      </c>
      <c r="B153" s="59">
        <v>1</v>
      </c>
      <c r="C153" s="142">
        <f>+Лист4!$C$6</f>
        <v>5648000</v>
      </c>
      <c r="D153" s="89">
        <f>+Лист4!$C$6*'Лист1 (2)'!B153</f>
        <v>5648000</v>
      </c>
      <c r="E153" s="60">
        <v>8</v>
      </c>
      <c r="F153" s="143" t="s">
        <v>127</v>
      </c>
    </row>
    <row r="154" spans="1:6" s="99" customFormat="1" ht="22.8" x14ac:dyDescent="0.4">
      <c r="A154" s="51" t="s">
        <v>5</v>
      </c>
      <c r="B154" s="24">
        <f>SUM(B137:B153)</f>
        <v>17</v>
      </c>
      <c r="C154" s="24"/>
      <c r="D154" s="119">
        <f>SUM(D137:D153)</f>
        <v>114799200</v>
      </c>
      <c r="E154" s="48"/>
      <c r="F154" s="138"/>
    </row>
    <row r="155" spans="1:6" ht="58.5" customHeight="1" x14ac:dyDescent="0.4">
      <c r="A155" s="154" t="s">
        <v>377</v>
      </c>
      <c r="B155" s="136"/>
      <c r="C155" s="136"/>
      <c r="D155" s="136"/>
      <c r="E155" s="60"/>
      <c r="F155" s="143"/>
    </row>
    <row r="156" spans="1:6" ht="22.8" x14ac:dyDescent="0.4">
      <c r="A156" s="131" t="s">
        <v>131</v>
      </c>
      <c r="B156" s="59">
        <v>1</v>
      </c>
      <c r="C156" s="142">
        <f>+Лист4!$C$8</f>
        <v>6524600</v>
      </c>
      <c r="D156" s="89">
        <f>+B156*Лист4!$C$8</f>
        <v>6524600</v>
      </c>
      <c r="E156" s="60">
        <v>10</v>
      </c>
      <c r="F156" s="143" t="s">
        <v>34</v>
      </c>
    </row>
    <row r="157" spans="1:6" ht="22.8" x14ac:dyDescent="0.4">
      <c r="A157" s="131" t="s">
        <v>131</v>
      </c>
      <c r="B157" s="59">
        <v>1</v>
      </c>
      <c r="C157" s="142">
        <f>+Лист4!$C$8</f>
        <v>6524600</v>
      </c>
      <c r="D157" s="89">
        <f>+B157*Лист4!$C$8</f>
        <v>6524600</v>
      </c>
      <c r="E157" s="60">
        <v>10</v>
      </c>
      <c r="F157" s="143" t="s">
        <v>37</v>
      </c>
    </row>
    <row r="158" spans="1:6" ht="22.8" x14ac:dyDescent="0.4">
      <c r="A158" s="131" t="s">
        <v>131</v>
      </c>
      <c r="B158" s="59">
        <v>1</v>
      </c>
      <c r="C158" s="142">
        <f>+Лист4!$C$8</f>
        <v>6524600</v>
      </c>
      <c r="D158" s="89">
        <f>+B158*Лист4!$C$8</f>
        <v>6524600</v>
      </c>
      <c r="E158" s="60">
        <v>10</v>
      </c>
      <c r="F158" s="143" t="s">
        <v>350</v>
      </c>
    </row>
    <row r="159" spans="1:6" ht="22.8" x14ac:dyDescent="0.4">
      <c r="A159" s="131" t="s">
        <v>131</v>
      </c>
      <c r="B159" s="59">
        <v>1</v>
      </c>
      <c r="C159" s="142">
        <f>+Лист4!$C$8</f>
        <v>6524600</v>
      </c>
      <c r="D159" s="89">
        <f>+B159*Лист4!$C$8</f>
        <v>6524600</v>
      </c>
      <c r="E159" s="60">
        <v>10</v>
      </c>
      <c r="F159" s="143" t="s">
        <v>36</v>
      </c>
    </row>
    <row r="160" spans="1:6" ht="22.8" x14ac:dyDescent="0.4">
      <c r="A160" s="131" t="s">
        <v>131</v>
      </c>
      <c r="B160" s="59">
        <v>1</v>
      </c>
      <c r="C160" s="142">
        <f>+Лист4!$C$8</f>
        <v>6524600</v>
      </c>
      <c r="D160" s="89">
        <f>+B160*Лист4!$C$8</f>
        <v>6524600</v>
      </c>
      <c r="E160" s="60">
        <v>10</v>
      </c>
      <c r="F160" s="143" t="s">
        <v>351</v>
      </c>
    </row>
    <row r="161" spans="1:6" ht="22.8" x14ac:dyDescent="0.4">
      <c r="A161" s="131" t="s">
        <v>131</v>
      </c>
      <c r="B161" s="59">
        <v>1</v>
      </c>
      <c r="C161" s="142">
        <f>+Лист4!$C$8</f>
        <v>6524600</v>
      </c>
      <c r="D161" s="89">
        <f>+B161*Лист4!$C$8</f>
        <v>6524600</v>
      </c>
      <c r="E161" s="60">
        <v>10</v>
      </c>
      <c r="F161" s="143" t="s">
        <v>39</v>
      </c>
    </row>
    <row r="162" spans="1:6" ht="22.8" x14ac:dyDescent="0.4">
      <c r="A162" s="131" t="s">
        <v>131</v>
      </c>
      <c r="B162" s="59">
        <v>1</v>
      </c>
      <c r="C162" s="142">
        <f>+Лист4!$C$8</f>
        <v>6524600</v>
      </c>
      <c r="D162" s="89">
        <f>+B162*Лист4!$C$8</f>
        <v>6524600</v>
      </c>
      <c r="E162" s="60">
        <v>10</v>
      </c>
      <c r="F162" s="143" t="s">
        <v>40</v>
      </c>
    </row>
    <row r="163" spans="1:6" ht="22.8" x14ac:dyDescent="0.4">
      <c r="A163" s="131" t="s">
        <v>131</v>
      </c>
      <c r="B163" s="59">
        <v>1</v>
      </c>
      <c r="C163" s="142">
        <f>+Лист4!$C$8</f>
        <v>6524600</v>
      </c>
      <c r="D163" s="89">
        <f>+B163*Лист4!$C$8</f>
        <v>6524600</v>
      </c>
      <c r="E163" s="60">
        <v>10</v>
      </c>
      <c r="F163" s="143" t="s">
        <v>41</v>
      </c>
    </row>
    <row r="164" spans="1:6" ht="22.8" x14ac:dyDescent="0.4">
      <c r="A164" s="131" t="s">
        <v>131</v>
      </c>
      <c r="B164" s="59">
        <v>1</v>
      </c>
      <c r="C164" s="142">
        <f>+Лист4!$C$8</f>
        <v>6524600</v>
      </c>
      <c r="D164" s="89">
        <f>+B164*Лист4!$C$8</f>
        <v>6524600</v>
      </c>
      <c r="E164" s="60">
        <v>10</v>
      </c>
      <c r="F164" s="143" t="s">
        <v>254</v>
      </c>
    </row>
    <row r="165" spans="1:6" ht="22.8" x14ac:dyDescent="0.4">
      <c r="A165" s="131" t="s">
        <v>131</v>
      </c>
      <c r="B165" s="59">
        <v>1</v>
      </c>
      <c r="C165" s="142">
        <f>+Лист4!$C$8</f>
        <v>6524600</v>
      </c>
      <c r="D165" s="89">
        <f>+B165*Лист4!$C$8</f>
        <v>6524600</v>
      </c>
      <c r="E165" s="60">
        <v>10</v>
      </c>
      <c r="F165" s="143" t="s">
        <v>42</v>
      </c>
    </row>
    <row r="166" spans="1:6" ht="22.8" x14ac:dyDescent="0.4">
      <c r="A166" s="131" t="s">
        <v>131</v>
      </c>
      <c r="B166" s="59">
        <v>1</v>
      </c>
      <c r="C166" s="142">
        <f>+Лист4!$C$8</f>
        <v>6524600</v>
      </c>
      <c r="D166" s="89">
        <f>+B166*Лист4!$C$8</f>
        <v>6524600</v>
      </c>
      <c r="E166" s="60">
        <v>10</v>
      </c>
      <c r="F166" s="143" t="s">
        <v>43</v>
      </c>
    </row>
    <row r="167" spans="1:6" ht="22.8" x14ac:dyDescent="0.4">
      <c r="A167" s="131" t="s">
        <v>131</v>
      </c>
      <c r="B167" s="59">
        <v>1</v>
      </c>
      <c r="C167" s="142">
        <f>+Лист4!$C$8</f>
        <v>6524600</v>
      </c>
      <c r="D167" s="89">
        <f>+B167*Лист4!$C$8</f>
        <v>6524600</v>
      </c>
      <c r="E167" s="60">
        <v>10</v>
      </c>
      <c r="F167" s="143" t="s">
        <v>44</v>
      </c>
    </row>
    <row r="168" spans="1:6" ht="22.8" x14ac:dyDescent="0.4">
      <c r="A168" s="131" t="s">
        <v>131</v>
      </c>
      <c r="B168" s="59">
        <v>1</v>
      </c>
      <c r="C168" s="142">
        <f>+Лист4!$C$8</f>
        <v>6524600</v>
      </c>
      <c r="D168" s="89">
        <f>+B168*Лист4!$C$8</f>
        <v>6524600</v>
      </c>
      <c r="E168" s="60">
        <v>10</v>
      </c>
      <c r="F168" s="143" t="s">
        <v>45</v>
      </c>
    </row>
    <row r="169" spans="1:6" ht="22.8" x14ac:dyDescent="0.4">
      <c r="A169" s="131" t="s">
        <v>131</v>
      </c>
      <c r="B169" s="59">
        <v>1</v>
      </c>
      <c r="C169" s="142">
        <f>+Лист4!$C$8</f>
        <v>6524600</v>
      </c>
      <c r="D169" s="89">
        <f>+B169*Лист4!$C$8</f>
        <v>6524600</v>
      </c>
      <c r="E169" s="60">
        <v>10</v>
      </c>
      <c r="F169" s="143" t="s">
        <v>46</v>
      </c>
    </row>
    <row r="170" spans="1:6" ht="22.8" x14ac:dyDescent="0.4">
      <c r="A170" s="131" t="s">
        <v>131</v>
      </c>
      <c r="B170" s="59">
        <v>1</v>
      </c>
      <c r="C170" s="142">
        <f>+Лист4!$C$8</f>
        <v>6524600</v>
      </c>
      <c r="D170" s="89">
        <f>+B170*Лист4!$C$8</f>
        <v>6524600</v>
      </c>
      <c r="E170" s="60">
        <v>10</v>
      </c>
      <c r="F170" s="143"/>
    </row>
    <row r="171" spans="1:6" s="99" customFormat="1" ht="22.8" x14ac:dyDescent="0.4">
      <c r="A171" s="132" t="s">
        <v>5</v>
      </c>
      <c r="B171" s="71">
        <f>SUM(B156:B170)</f>
        <v>15</v>
      </c>
      <c r="C171" s="71"/>
      <c r="D171" s="90">
        <f>SUM(D156:D156)</f>
        <v>6524600</v>
      </c>
      <c r="E171" s="72"/>
      <c r="F171" s="143"/>
    </row>
    <row r="172" spans="1:6" ht="22.8" x14ac:dyDescent="0.4">
      <c r="A172" s="61" t="s">
        <v>378</v>
      </c>
      <c r="B172" s="56"/>
      <c r="C172" s="56"/>
      <c r="D172" s="55"/>
      <c r="E172" s="35"/>
      <c r="F172" s="138"/>
    </row>
    <row r="173" spans="1:6" ht="22.8" x14ac:dyDescent="0.4">
      <c r="A173" s="26" t="s">
        <v>301</v>
      </c>
      <c r="B173" s="56">
        <v>1</v>
      </c>
      <c r="C173" s="82">
        <f>+Лист4!$C$13</f>
        <v>8388800</v>
      </c>
      <c r="D173" s="55">
        <f>+B173*Лист4!$C$13</f>
        <v>8388800</v>
      </c>
      <c r="E173" s="35">
        <v>14</v>
      </c>
      <c r="F173" s="138"/>
    </row>
    <row r="174" spans="1:6" ht="22.8" x14ac:dyDescent="0.4">
      <c r="A174" s="26" t="s">
        <v>52</v>
      </c>
      <c r="B174" s="56">
        <v>1</v>
      </c>
      <c r="C174" s="82">
        <f>+Лист4!$C$9</f>
        <v>6978500</v>
      </c>
      <c r="D174" s="55">
        <f>+B174*Лист4!$C$9</f>
        <v>6978500</v>
      </c>
      <c r="E174" s="35">
        <v>11</v>
      </c>
      <c r="F174" s="138"/>
    </row>
    <row r="175" spans="1:6" ht="22.8" x14ac:dyDescent="0.4">
      <c r="A175" s="26" t="s">
        <v>52</v>
      </c>
      <c r="B175" s="56">
        <v>1</v>
      </c>
      <c r="C175" s="82">
        <f>+Лист4!$C$9</f>
        <v>6978500</v>
      </c>
      <c r="D175" s="55">
        <f>+B175*Лист4!$C$9</f>
        <v>6978500</v>
      </c>
      <c r="E175" s="35">
        <v>11</v>
      </c>
      <c r="F175" s="138"/>
    </row>
    <row r="176" spans="1:6" ht="22.8" x14ac:dyDescent="0.4">
      <c r="A176" s="26" t="s">
        <v>52</v>
      </c>
      <c r="B176" s="56">
        <v>1</v>
      </c>
      <c r="C176" s="82">
        <f>+Лист4!$C$9</f>
        <v>6978500</v>
      </c>
      <c r="D176" s="55">
        <f>+B176*Лист4!$C$9</f>
        <v>6978500</v>
      </c>
      <c r="E176" s="35">
        <v>11</v>
      </c>
      <c r="F176" s="138"/>
    </row>
    <row r="177" spans="1:6" ht="22.8" x14ac:dyDescent="0.4">
      <c r="A177" s="79" t="s">
        <v>52</v>
      </c>
      <c r="B177" s="63">
        <v>1</v>
      </c>
      <c r="C177" s="150">
        <f>+Лист4!$C$9</f>
        <v>6978500</v>
      </c>
      <c r="D177" s="92">
        <f>+B177*Лист4!$C$9</f>
        <v>6978500</v>
      </c>
      <c r="E177" s="151">
        <v>11</v>
      </c>
      <c r="F177" s="138"/>
    </row>
    <row r="178" spans="1:6" ht="22.8" x14ac:dyDescent="0.4">
      <c r="A178" s="26" t="s">
        <v>131</v>
      </c>
      <c r="B178" s="56">
        <v>1</v>
      </c>
      <c r="C178" s="82">
        <f>+Лист4!$C$8</f>
        <v>6524600</v>
      </c>
      <c r="D178" s="55">
        <f>+B178*Лист4!$C$8</f>
        <v>6524600</v>
      </c>
      <c r="E178" s="35">
        <v>10</v>
      </c>
      <c r="F178" s="138"/>
    </row>
    <row r="179" spans="1:6" ht="22.8" x14ac:dyDescent="0.4">
      <c r="A179" s="26" t="s">
        <v>197</v>
      </c>
      <c r="B179" s="56">
        <v>1</v>
      </c>
      <c r="C179" s="82">
        <f>+Лист4!$C$7</f>
        <v>6081100</v>
      </c>
      <c r="D179" s="55">
        <f>+B179*Лист4!$C$7</f>
        <v>6081100</v>
      </c>
      <c r="E179" s="35">
        <v>9</v>
      </c>
      <c r="F179" s="138"/>
    </row>
    <row r="180" spans="1:6" ht="22.8" x14ac:dyDescent="0.4">
      <c r="A180" s="26" t="s">
        <v>197</v>
      </c>
      <c r="B180" s="56">
        <v>1</v>
      </c>
      <c r="C180" s="82">
        <f>+Лист4!$C$7</f>
        <v>6081100</v>
      </c>
      <c r="D180" s="55">
        <f>+B180*Лист4!$C$7</f>
        <v>6081100</v>
      </c>
      <c r="E180" s="35">
        <v>9</v>
      </c>
      <c r="F180" s="138"/>
    </row>
    <row r="181" spans="1:6" ht="22.8" x14ac:dyDescent="0.4">
      <c r="A181" s="26" t="s">
        <v>134</v>
      </c>
      <c r="B181" s="56">
        <v>1</v>
      </c>
      <c r="C181" s="82">
        <f>+Лист4!$C$6</f>
        <v>5648000</v>
      </c>
      <c r="D181" s="55">
        <f>+Лист4!$C$6*'Лист1 (2)'!B181</f>
        <v>5648000</v>
      </c>
      <c r="E181" s="35">
        <v>8</v>
      </c>
      <c r="F181" s="138"/>
    </row>
    <row r="182" spans="1:6" ht="22.8" x14ac:dyDescent="0.4">
      <c r="A182" s="26" t="s">
        <v>134</v>
      </c>
      <c r="B182" s="56">
        <v>1</v>
      </c>
      <c r="C182" s="82">
        <f>+Лист4!$C$6</f>
        <v>5648000</v>
      </c>
      <c r="D182" s="55">
        <f>+Лист4!$C$6*'Лист1 (2)'!B182</f>
        <v>5648000</v>
      </c>
      <c r="E182" s="35">
        <v>8</v>
      </c>
      <c r="F182" s="138"/>
    </row>
    <row r="183" spans="1:6" s="99" customFormat="1" ht="22.8" x14ac:dyDescent="0.4">
      <c r="A183" s="51" t="s">
        <v>5</v>
      </c>
      <c r="B183" s="24">
        <f>SUM(B173:B182)</f>
        <v>10</v>
      </c>
      <c r="C183" s="24"/>
      <c r="D183" s="119">
        <f>SUM(D173:D182)</f>
        <v>66285600</v>
      </c>
      <c r="E183" s="48"/>
      <c r="F183" s="138"/>
    </row>
    <row r="184" spans="1:6" ht="22.8" x14ac:dyDescent="0.4">
      <c r="A184" s="135" t="s">
        <v>379</v>
      </c>
      <c r="B184" s="59"/>
      <c r="C184" s="59"/>
      <c r="D184" s="89"/>
      <c r="E184" s="60"/>
      <c r="F184" s="143"/>
    </row>
    <row r="185" spans="1:6" ht="22.8" x14ac:dyDescent="0.4">
      <c r="A185" s="131" t="s">
        <v>302</v>
      </c>
      <c r="B185" s="59">
        <v>1</v>
      </c>
      <c r="C185" s="142">
        <f>+Лист4!$C$11</f>
        <v>7914100</v>
      </c>
      <c r="D185" s="89">
        <f>+B185*Лист4!$C$11</f>
        <v>7914100</v>
      </c>
      <c r="E185" s="60">
        <v>13</v>
      </c>
      <c r="F185" s="143" t="s">
        <v>51</v>
      </c>
    </row>
    <row r="186" spans="1:6" ht="22.8" x14ac:dyDescent="0.4">
      <c r="A186" s="79" t="s">
        <v>134</v>
      </c>
      <c r="B186" s="63">
        <v>1</v>
      </c>
      <c r="C186" s="150">
        <f>+Лист4!$C$6</f>
        <v>5648000</v>
      </c>
      <c r="D186" s="92">
        <f>+Лист4!$C$6*'Лист1 (2)'!B186</f>
        <v>5648000</v>
      </c>
      <c r="E186" s="151">
        <v>8</v>
      </c>
      <c r="F186" s="143"/>
    </row>
    <row r="187" spans="1:6" s="99" customFormat="1" ht="22.8" x14ac:dyDescent="0.4">
      <c r="A187" s="132" t="s">
        <v>5</v>
      </c>
      <c r="B187" s="71">
        <f>SUM(B185:B186)</f>
        <v>2</v>
      </c>
      <c r="C187" s="71"/>
      <c r="D187" s="90">
        <f>SUM(D185:D186)</f>
        <v>13562100</v>
      </c>
      <c r="E187" s="72"/>
      <c r="F187" s="143"/>
    </row>
    <row r="188" spans="1:6" ht="22.8" x14ac:dyDescent="0.4">
      <c r="A188" s="133" t="s">
        <v>380</v>
      </c>
      <c r="B188" s="59"/>
      <c r="C188" s="59"/>
      <c r="D188" s="89"/>
      <c r="E188" s="60"/>
      <c r="F188" s="143"/>
    </row>
    <row r="189" spans="1:6" ht="22.8" x14ac:dyDescent="0.4">
      <c r="A189" s="131" t="s">
        <v>15</v>
      </c>
      <c r="B189" s="59">
        <v>1</v>
      </c>
      <c r="C189" s="142">
        <f>+Лист4!$C$13</f>
        <v>8388800</v>
      </c>
      <c r="D189" s="89">
        <f>+B189*Лист4!$C$13</f>
        <v>8388800</v>
      </c>
      <c r="E189" s="83">
        <v>14</v>
      </c>
      <c r="F189" s="143" t="s">
        <v>17</v>
      </c>
    </row>
    <row r="190" spans="1:6" ht="22.8" x14ac:dyDescent="0.4">
      <c r="A190" s="131" t="s">
        <v>23</v>
      </c>
      <c r="B190" s="59">
        <v>1</v>
      </c>
      <c r="C190" s="142">
        <f>+Лист4!$C$10</f>
        <v>7442800</v>
      </c>
      <c r="D190" s="89">
        <f>+B190*Лист4!$C$10</f>
        <v>7442800</v>
      </c>
      <c r="E190" s="60">
        <v>12</v>
      </c>
      <c r="F190" s="143" t="s">
        <v>237</v>
      </c>
    </row>
    <row r="191" spans="1:6" ht="22.8" x14ac:dyDescent="0.4">
      <c r="A191" s="131" t="s">
        <v>52</v>
      </c>
      <c r="B191" s="59">
        <v>1</v>
      </c>
      <c r="C191" s="142">
        <f>+Лист4!$C$9</f>
        <v>6978500</v>
      </c>
      <c r="D191" s="89">
        <f>+B191*Лист4!$C$9</f>
        <v>6978500</v>
      </c>
      <c r="E191" s="59">
        <v>11</v>
      </c>
      <c r="F191" s="143" t="s">
        <v>18</v>
      </c>
    </row>
    <row r="192" spans="1:6" ht="22.8" x14ac:dyDescent="0.4">
      <c r="A192" s="131" t="s">
        <v>131</v>
      </c>
      <c r="B192" s="59">
        <v>1</v>
      </c>
      <c r="C192" s="142">
        <f>+Лист4!$C$8</f>
        <v>6524600</v>
      </c>
      <c r="D192" s="89">
        <f>+B192*Лист4!$C$8</f>
        <v>6524600</v>
      </c>
      <c r="E192" s="60">
        <v>10</v>
      </c>
      <c r="F192" s="143" t="s">
        <v>258</v>
      </c>
    </row>
    <row r="193" spans="1:6" ht="22.8" x14ac:dyDescent="0.4">
      <c r="A193" s="131" t="s">
        <v>197</v>
      </c>
      <c r="B193" s="59">
        <v>1</v>
      </c>
      <c r="C193" s="142">
        <f>+Лист4!$C$7</f>
        <v>6081100</v>
      </c>
      <c r="D193" s="89">
        <f>+B193*Лист4!$C$7</f>
        <v>6081100</v>
      </c>
      <c r="E193" s="60">
        <v>9</v>
      </c>
      <c r="F193" s="143" t="s">
        <v>352</v>
      </c>
    </row>
    <row r="194" spans="1:6" s="99" customFormat="1" ht="22.8" x14ac:dyDescent="0.4">
      <c r="A194" s="132" t="s">
        <v>5</v>
      </c>
      <c r="B194" s="71">
        <f>SUM(B189:B193)</f>
        <v>5</v>
      </c>
      <c r="C194" s="71"/>
      <c r="D194" s="90">
        <f>SUM(D189:D193)</f>
        <v>35415800</v>
      </c>
      <c r="E194" s="72"/>
      <c r="F194" s="143"/>
    </row>
    <row r="195" spans="1:6" s="99" customFormat="1" ht="22.8" x14ac:dyDescent="0.4">
      <c r="A195" s="61" t="s">
        <v>381</v>
      </c>
      <c r="B195" s="24"/>
      <c r="C195" s="24"/>
      <c r="D195" s="119"/>
      <c r="E195" s="48"/>
      <c r="F195" s="138"/>
    </row>
    <row r="196" spans="1:6" s="99" customFormat="1" ht="22.8" x14ac:dyDescent="0.4">
      <c r="A196" s="140" t="s">
        <v>382</v>
      </c>
      <c r="B196" s="24"/>
      <c r="C196" s="24"/>
      <c r="D196" s="119"/>
      <c r="E196" s="48"/>
      <c r="F196" s="138"/>
    </row>
    <row r="197" spans="1:6" s="99" customFormat="1" ht="22.8" x14ac:dyDescent="0.4">
      <c r="A197" s="26" t="s">
        <v>324</v>
      </c>
      <c r="B197" s="56">
        <v>1</v>
      </c>
      <c r="C197" s="82">
        <f>+Лист4!$C$13</f>
        <v>8388800</v>
      </c>
      <c r="D197" s="55">
        <f>+B197*Лист4!$C$13</f>
        <v>8388800</v>
      </c>
      <c r="E197" s="35">
        <v>14</v>
      </c>
      <c r="F197" s="138"/>
    </row>
    <row r="198" spans="1:6" s="99" customFormat="1" ht="22.8" x14ac:dyDescent="0.4">
      <c r="A198" s="26" t="s">
        <v>52</v>
      </c>
      <c r="B198" s="56">
        <v>1</v>
      </c>
      <c r="C198" s="82">
        <f>+Лист4!$C$9</f>
        <v>6978500</v>
      </c>
      <c r="D198" s="55">
        <f>+B198*Лист4!$C$9</f>
        <v>6978500</v>
      </c>
      <c r="E198" s="35">
        <v>11</v>
      </c>
      <c r="F198" s="138"/>
    </row>
    <row r="199" spans="1:6" s="99" customFormat="1" ht="22.8" x14ac:dyDescent="0.4">
      <c r="A199" s="26" t="s">
        <v>131</v>
      </c>
      <c r="B199" s="56">
        <v>1</v>
      </c>
      <c r="C199" s="82">
        <f>+Лист4!$C$8</f>
        <v>6524600</v>
      </c>
      <c r="D199" s="55">
        <f>+B199*Лист4!$C$8</f>
        <v>6524600</v>
      </c>
      <c r="E199" s="35">
        <v>10</v>
      </c>
      <c r="F199" s="138"/>
    </row>
    <row r="200" spans="1:6" s="99" customFormat="1" ht="22.8" x14ac:dyDescent="0.4">
      <c r="A200" s="26" t="s">
        <v>131</v>
      </c>
      <c r="B200" s="56">
        <v>1</v>
      </c>
      <c r="C200" s="82">
        <f>+Лист4!$C$8</f>
        <v>6524600</v>
      </c>
      <c r="D200" s="55">
        <f>+B200*Лист4!$C$8</f>
        <v>6524600</v>
      </c>
      <c r="E200" s="35">
        <v>10</v>
      </c>
      <c r="F200" s="138"/>
    </row>
    <row r="201" spans="1:6" s="99" customFormat="1" ht="22.8" x14ac:dyDescent="0.4">
      <c r="A201" s="26" t="s">
        <v>197</v>
      </c>
      <c r="B201" s="56">
        <v>1</v>
      </c>
      <c r="C201" s="82">
        <f>+Лист4!$C$7</f>
        <v>6081100</v>
      </c>
      <c r="D201" s="55">
        <f>+B201*Лист4!$C$7</f>
        <v>6081100</v>
      </c>
      <c r="E201" s="35">
        <v>9</v>
      </c>
      <c r="F201" s="138"/>
    </row>
    <row r="202" spans="1:6" s="99" customFormat="1" ht="22.8" x14ac:dyDescent="0.4">
      <c r="A202" s="26" t="s">
        <v>134</v>
      </c>
      <c r="B202" s="56">
        <v>1</v>
      </c>
      <c r="C202" s="82">
        <f>+Лист4!$C$6</f>
        <v>5648000</v>
      </c>
      <c r="D202" s="55">
        <f>+Лист4!$C$6*'Лист1 (2)'!B202</f>
        <v>5648000</v>
      </c>
      <c r="E202" s="35">
        <v>8</v>
      </c>
      <c r="F202" s="138"/>
    </row>
    <row r="203" spans="1:6" s="99" customFormat="1" ht="22.8" x14ac:dyDescent="0.4">
      <c r="A203" s="51" t="s">
        <v>5</v>
      </c>
      <c r="B203" s="24">
        <f>SUM(B197:B202)</f>
        <v>6</v>
      </c>
      <c r="C203" s="24"/>
      <c r="D203" s="119">
        <f>SUM(D197:D202)</f>
        <v>40145600</v>
      </c>
      <c r="E203" s="48"/>
      <c r="F203" s="138"/>
    </row>
    <row r="204" spans="1:6" s="99" customFormat="1" ht="22.8" x14ac:dyDescent="0.4">
      <c r="A204" s="81" t="s">
        <v>383</v>
      </c>
      <c r="B204" s="24"/>
      <c r="C204" s="24"/>
      <c r="D204" s="119"/>
      <c r="E204" s="48"/>
      <c r="F204" s="138"/>
    </row>
    <row r="205" spans="1:6" s="99" customFormat="1" ht="22.8" x14ac:dyDescent="0.4">
      <c r="A205" s="26" t="s">
        <v>307</v>
      </c>
      <c r="B205" s="56">
        <v>1</v>
      </c>
      <c r="C205" s="82">
        <f>+Лист4!$C$11</f>
        <v>7914100</v>
      </c>
      <c r="D205" s="55">
        <f>+B205*Лист4!$C$11</f>
        <v>7914100</v>
      </c>
      <c r="E205" s="35">
        <v>13</v>
      </c>
      <c r="F205" s="138"/>
    </row>
    <row r="206" spans="1:6" s="99" customFormat="1" ht="22.8" x14ac:dyDescent="0.4">
      <c r="A206" s="26" t="s">
        <v>52</v>
      </c>
      <c r="B206" s="56">
        <v>1</v>
      </c>
      <c r="C206" s="82">
        <f>+Лист4!$C$9</f>
        <v>6978500</v>
      </c>
      <c r="D206" s="55">
        <f>+B206*Лист4!$C$9</f>
        <v>6978500</v>
      </c>
      <c r="E206" s="35">
        <v>11</v>
      </c>
      <c r="F206" s="138"/>
    </row>
    <row r="207" spans="1:6" s="99" customFormat="1" ht="22.8" x14ac:dyDescent="0.4">
      <c r="A207" s="26" t="s">
        <v>131</v>
      </c>
      <c r="B207" s="56">
        <v>1</v>
      </c>
      <c r="C207" s="82">
        <f>+Лист4!$C$8</f>
        <v>6524600</v>
      </c>
      <c r="D207" s="55">
        <f>+B207*Лист4!$C$8</f>
        <v>6524600</v>
      </c>
      <c r="E207" s="35">
        <v>10</v>
      </c>
      <c r="F207" s="138"/>
    </row>
    <row r="208" spans="1:6" ht="22.8" x14ac:dyDescent="0.4">
      <c r="A208" s="51" t="s">
        <v>5</v>
      </c>
      <c r="B208" s="24">
        <f>SUM(B205:B207)</f>
        <v>3</v>
      </c>
      <c r="C208" s="24"/>
      <c r="D208" s="119">
        <f>SUM(D205:D207)</f>
        <v>21417200</v>
      </c>
      <c r="E208" s="35"/>
      <c r="F208" s="138"/>
    </row>
    <row r="209" spans="1:6" s="99" customFormat="1" ht="22.8" x14ac:dyDescent="0.4">
      <c r="A209" s="140" t="s">
        <v>384</v>
      </c>
      <c r="B209" s="24"/>
      <c r="C209" s="24"/>
      <c r="D209" s="119"/>
      <c r="E209" s="48"/>
      <c r="F209" s="138"/>
    </row>
    <row r="210" spans="1:6" s="99" customFormat="1" ht="22.8" x14ac:dyDescent="0.4">
      <c r="A210" s="26" t="s">
        <v>329</v>
      </c>
      <c r="B210" s="56">
        <v>1</v>
      </c>
      <c r="C210" s="82">
        <f>+Лист4!$C$11</f>
        <v>7914100</v>
      </c>
      <c r="D210" s="55">
        <f>+B210*Лист4!$C$11</f>
        <v>7914100</v>
      </c>
      <c r="E210" s="35">
        <v>13</v>
      </c>
      <c r="F210" s="138"/>
    </row>
    <row r="211" spans="1:6" s="99" customFormat="1" ht="22.8" x14ac:dyDescent="0.4">
      <c r="A211" s="26" t="s">
        <v>52</v>
      </c>
      <c r="B211" s="56">
        <v>1</v>
      </c>
      <c r="C211" s="82">
        <f>+Лист4!$C$9</f>
        <v>6978500</v>
      </c>
      <c r="D211" s="55">
        <f>+B211*Лист4!$C$9</f>
        <v>6978500</v>
      </c>
      <c r="E211" s="35">
        <v>11</v>
      </c>
      <c r="F211" s="138"/>
    </row>
    <row r="212" spans="1:6" s="99" customFormat="1" ht="22.8" x14ac:dyDescent="0.4">
      <c r="A212" s="26" t="s">
        <v>131</v>
      </c>
      <c r="B212" s="56">
        <v>1</v>
      </c>
      <c r="C212" s="82">
        <f>+Лист4!$C$8</f>
        <v>6524600</v>
      </c>
      <c r="D212" s="55">
        <f>+B212*Лист4!$C$8</f>
        <v>6524600</v>
      </c>
      <c r="E212" s="35">
        <v>10</v>
      </c>
      <c r="F212" s="138"/>
    </row>
    <row r="213" spans="1:6" s="99" customFormat="1" ht="22.8" x14ac:dyDescent="0.4">
      <c r="A213" s="51" t="s">
        <v>5</v>
      </c>
      <c r="B213" s="24">
        <f>SUM(B210:B212)</f>
        <v>3</v>
      </c>
      <c r="C213" s="24"/>
      <c r="D213" s="119">
        <f>SUM(D210:D212)</f>
        <v>21417200</v>
      </c>
      <c r="E213" s="48"/>
      <c r="F213" s="138"/>
    </row>
    <row r="214" spans="1:6" s="99" customFormat="1" ht="22.8" x14ac:dyDescent="0.4">
      <c r="A214" s="81" t="s">
        <v>385</v>
      </c>
      <c r="B214" s="24"/>
      <c r="C214" s="24"/>
      <c r="D214" s="119"/>
      <c r="E214" s="48"/>
      <c r="F214" s="138"/>
    </row>
    <row r="215" spans="1:6" s="99" customFormat="1" ht="22.8" x14ac:dyDescent="0.4">
      <c r="A215" s="26" t="s">
        <v>329</v>
      </c>
      <c r="B215" s="56">
        <v>1</v>
      </c>
      <c r="C215" s="82">
        <f>+Лист4!$C$11</f>
        <v>7914100</v>
      </c>
      <c r="D215" s="55">
        <f>+B215*Лист4!$C$11</f>
        <v>7914100</v>
      </c>
      <c r="E215" s="35">
        <v>13</v>
      </c>
      <c r="F215" s="138"/>
    </row>
    <row r="216" spans="1:6" s="99" customFormat="1" ht="22.8" x14ac:dyDescent="0.4">
      <c r="A216" s="26" t="s">
        <v>52</v>
      </c>
      <c r="B216" s="56">
        <v>1</v>
      </c>
      <c r="C216" s="82">
        <f>+Лист4!$C$9</f>
        <v>6978500</v>
      </c>
      <c r="D216" s="55">
        <f>+B216*Лист4!$C$9</f>
        <v>6978500</v>
      </c>
      <c r="E216" s="35">
        <v>11</v>
      </c>
      <c r="F216" s="138"/>
    </row>
    <row r="217" spans="1:6" s="99" customFormat="1" ht="22.8" x14ac:dyDescent="0.4">
      <c r="A217" s="26" t="s">
        <v>131</v>
      </c>
      <c r="B217" s="56">
        <v>1</v>
      </c>
      <c r="C217" s="82">
        <f>+Лист4!$C$8</f>
        <v>6524600</v>
      </c>
      <c r="D217" s="55">
        <f>+B217*Лист4!$C$8</f>
        <v>6524600</v>
      </c>
      <c r="E217" s="35">
        <v>10</v>
      </c>
      <c r="F217" s="138"/>
    </row>
    <row r="218" spans="1:6" s="99" customFormat="1" ht="22.8" x14ac:dyDescent="0.4">
      <c r="A218" s="79" t="s">
        <v>131</v>
      </c>
      <c r="B218" s="63">
        <v>1</v>
      </c>
      <c r="C218" s="150">
        <v>6524600</v>
      </c>
      <c r="D218" s="92">
        <v>6524600</v>
      </c>
      <c r="E218" s="151">
        <v>10</v>
      </c>
      <c r="F218" s="138"/>
    </row>
    <row r="219" spans="1:6" s="99" customFormat="1" ht="22.8" x14ac:dyDescent="0.4">
      <c r="A219" s="51" t="s">
        <v>5</v>
      </c>
      <c r="B219" s="24">
        <f>SUM(B215:B218)</f>
        <v>4</v>
      </c>
      <c r="C219" s="24"/>
      <c r="D219" s="119">
        <f>SUM(D215:D218)</f>
        <v>27941800</v>
      </c>
      <c r="E219" s="48"/>
      <c r="F219" s="138"/>
    </row>
    <row r="220" spans="1:6" s="99" customFormat="1" ht="22.8" x14ac:dyDescent="0.4">
      <c r="A220" s="81" t="s">
        <v>386</v>
      </c>
      <c r="B220" s="24"/>
      <c r="C220" s="24"/>
      <c r="D220" s="119"/>
      <c r="E220" s="48"/>
      <c r="F220" s="138"/>
    </row>
    <row r="221" spans="1:6" s="99" customFormat="1" ht="22.8" x14ac:dyDescent="0.4">
      <c r="A221" s="26" t="s">
        <v>329</v>
      </c>
      <c r="B221" s="56">
        <v>1</v>
      </c>
      <c r="C221" s="82">
        <f>+Лист4!$C$11</f>
        <v>7914100</v>
      </c>
      <c r="D221" s="55">
        <f>+B221*Лист4!$C$11</f>
        <v>7914100</v>
      </c>
      <c r="E221" s="35">
        <v>13</v>
      </c>
      <c r="F221" s="138"/>
    </row>
    <row r="222" spans="1:6" s="99" customFormat="1" ht="22.8" x14ac:dyDescent="0.4">
      <c r="A222" s="26" t="s">
        <v>52</v>
      </c>
      <c r="B222" s="56">
        <v>1</v>
      </c>
      <c r="C222" s="82">
        <f>+Лист4!$C$9</f>
        <v>6978500</v>
      </c>
      <c r="D222" s="55">
        <f>+B222*Лист4!$C$9</f>
        <v>6978500</v>
      </c>
      <c r="E222" s="35">
        <v>11</v>
      </c>
      <c r="F222" s="138"/>
    </row>
    <row r="223" spans="1:6" s="99" customFormat="1" ht="22.8" x14ac:dyDescent="0.4">
      <c r="A223" s="26" t="s">
        <v>131</v>
      </c>
      <c r="B223" s="56">
        <v>1</v>
      </c>
      <c r="C223" s="82">
        <f>+Лист4!$C$8</f>
        <v>6524600</v>
      </c>
      <c r="D223" s="55">
        <f>+B223*Лист4!$C$8</f>
        <v>6524600</v>
      </c>
      <c r="E223" s="35">
        <v>10</v>
      </c>
      <c r="F223" s="138"/>
    </row>
    <row r="224" spans="1:6" s="99" customFormat="1" ht="22.8" x14ac:dyDescent="0.4">
      <c r="A224" s="26" t="s">
        <v>197</v>
      </c>
      <c r="B224" s="56">
        <v>1</v>
      </c>
      <c r="C224" s="82">
        <f>+Лист4!$C$7</f>
        <v>6081100</v>
      </c>
      <c r="D224" s="55">
        <f>+B224*Лист4!$C$7</f>
        <v>6081100</v>
      </c>
      <c r="E224" s="35">
        <v>9</v>
      </c>
      <c r="F224" s="138"/>
    </row>
    <row r="225" spans="1:6" s="99" customFormat="1" ht="22.8" x14ac:dyDescent="0.4">
      <c r="A225" s="51" t="s">
        <v>5</v>
      </c>
      <c r="B225" s="24">
        <f>SUM(B221:B224)</f>
        <v>4</v>
      </c>
      <c r="C225" s="24"/>
      <c r="D225" s="119">
        <f>SUM(D221:D224)</f>
        <v>27498300</v>
      </c>
      <c r="E225" s="48"/>
      <c r="F225" s="138"/>
    </row>
    <row r="226" spans="1:6" s="99" customFormat="1" ht="22.8" x14ac:dyDescent="0.4">
      <c r="A226" s="61" t="s">
        <v>387</v>
      </c>
      <c r="B226" s="24"/>
      <c r="C226" s="24"/>
      <c r="D226" s="119"/>
      <c r="E226" s="48"/>
      <c r="F226" s="149"/>
    </row>
    <row r="227" spans="1:6" s="99" customFormat="1" ht="22.8" x14ac:dyDescent="0.4">
      <c r="A227" s="140" t="s">
        <v>388</v>
      </c>
      <c r="B227" s="24"/>
      <c r="C227" s="24"/>
      <c r="D227" s="119"/>
      <c r="E227" s="48"/>
      <c r="F227" s="149"/>
    </row>
    <row r="228" spans="1:6" s="99" customFormat="1" ht="22.8" x14ac:dyDescent="0.4">
      <c r="A228" s="26" t="s">
        <v>328</v>
      </c>
      <c r="B228" s="56">
        <v>1</v>
      </c>
      <c r="C228" s="82">
        <f>+Лист4!$C$29</f>
        <v>5592500</v>
      </c>
      <c r="D228" s="55">
        <f>+B228*Лист4!C29</f>
        <v>5592500</v>
      </c>
      <c r="E228" s="35">
        <v>14</v>
      </c>
      <c r="F228" s="149"/>
    </row>
    <row r="229" spans="1:6" s="99" customFormat="1" ht="22.8" x14ac:dyDescent="0.4">
      <c r="A229" s="26" t="s">
        <v>330</v>
      </c>
      <c r="B229" s="56">
        <v>1</v>
      </c>
      <c r="C229" s="82">
        <f>+Лист4!$C$28</f>
        <v>5276000</v>
      </c>
      <c r="D229" s="55">
        <f>+B229*Лист4!C28</f>
        <v>5276000</v>
      </c>
      <c r="E229" s="35">
        <v>13</v>
      </c>
      <c r="F229" s="149"/>
    </row>
    <row r="230" spans="1:6" s="99" customFormat="1" ht="22.8" x14ac:dyDescent="0.4">
      <c r="A230" s="26" t="s">
        <v>52</v>
      </c>
      <c r="B230" s="56">
        <v>1</v>
      </c>
      <c r="C230" s="82">
        <f>+Лист4!$C$26</f>
        <v>4652300</v>
      </c>
      <c r="D230" s="55">
        <f>+B230*Лист4!C26</f>
        <v>4652300</v>
      </c>
      <c r="E230" s="35">
        <v>11</v>
      </c>
      <c r="F230" s="149"/>
    </row>
    <row r="231" spans="1:6" s="99" customFormat="1" ht="22.8" x14ac:dyDescent="0.4">
      <c r="A231" s="26" t="s">
        <v>131</v>
      </c>
      <c r="B231" s="56">
        <v>1</v>
      </c>
      <c r="C231" s="82">
        <f>+Лист4!$C$25</f>
        <v>4349700</v>
      </c>
      <c r="D231" s="55">
        <f>+B231*Лист4!$C$25</f>
        <v>4349700</v>
      </c>
      <c r="E231" s="35">
        <v>10</v>
      </c>
      <c r="F231" s="149"/>
    </row>
    <row r="232" spans="1:6" s="99" customFormat="1" ht="22.8" x14ac:dyDescent="0.4">
      <c r="A232" s="26" t="s">
        <v>131</v>
      </c>
      <c r="B232" s="56">
        <v>1</v>
      </c>
      <c r="C232" s="82">
        <f>+Лист4!$C$25</f>
        <v>4349700</v>
      </c>
      <c r="D232" s="55">
        <f>+B232*Лист4!$C$25</f>
        <v>4349700</v>
      </c>
      <c r="E232" s="35">
        <v>10</v>
      </c>
      <c r="F232" s="149"/>
    </row>
    <row r="233" spans="1:6" s="99" customFormat="1" ht="22.8" x14ac:dyDescent="0.4">
      <c r="A233" s="26" t="s">
        <v>197</v>
      </c>
      <c r="B233" s="56">
        <v>1</v>
      </c>
      <c r="C233" s="82">
        <f>+Лист4!$C$24</f>
        <v>4054100</v>
      </c>
      <c r="D233" s="55">
        <f>+C233</f>
        <v>4054100</v>
      </c>
      <c r="E233" s="35">
        <v>9</v>
      </c>
      <c r="F233" s="149"/>
    </row>
    <row r="234" spans="1:6" s="99" customFormat="1" ht="22.8" x14ac:dyDescent="0.4">
      <c r="A234" s="26" t="s">
        <v>197</v>
      </c>
      <c r="B234" s="56">
        <v>1</v>
      </c>
      <c r="C234" s="82">
        <f>+Лист4!$C$24</f>
        <v>4054100</v>
      </c>
      <c r="D234" s="55">
        <f>+C234</f>
        <v>4054100</v>
      </c>
      <c r="E234" s="35">
        <v>9</v>
      </c>
      <c r="F234" s="149"/>
    </row>
    <row r="235" spans="1:6" s="99" customFormat="1" ht="22.8" x14ac:dyDescent="0.4">
      <c r="A235" s="26" t="s">
        <v>197</v>
      </c>
      <c r="B235" s="56">
        <v>1</v>
      </c>
      <c r="C235" s="82">
        <f>+Лист4!$C$24</f>
        <v>4054100</v>
      </c>
      <c r="D235" s="55">
        <f>+B235*Лист4!C24</f>
        <v>4054100</v>
      </c>
      <c r="E235" s="35">
        <v>9</v>
      </c>
      <c r="F235" s="149"/>
    </row>
    <row r="236" spans="1:6" s="99" customFormat="1" ht="22.8" x14ac:dyDescent="0.4">
      <c r="A236" s="51" t="s">
        <v>5</v>
      </c>
      <c r="B236" s="24">
        <f>SUM(B228:B235)</f>
        <v>8</v>
      </c>
      <c r="C236" s="24"/>
      <c r="D236" s="119">
        <f>SUM(D228:D235)</f>
        <v>36382500</v>
      </c>
      <c r="E236" s="48"/>
      <c r="F236" s="149"/>
    </row>
    <row r="237" spans="1:6" s="99" customFormat="1" ht="22.8" x14ac:dyDescent="0.4">
      <c r="A237" s="140" t="s">
        <v>389</v>
      </c>
      <c r="B237" s="24"/>
      <c r="C237" s="24"/>
      <c r="D237" s="119"/>
      <c r="E237" s="48"/>
      <c r="F237" s="149"/>
    </row>
    <row r="238" spans="1:6" s="99" customFormat="1" ht="22.8" x14ac:dyDescent="0.4">
      <c r="A238" s="26" t="s">
        <v>52</v>
      </c>
      <c r="B238" s="56">
        <v>1</v>
      </c>
      <c r="C238" s="82">
        <f>+Лист4!$C$26</f>
        <v>4652300</v>
      </c>
      <c r="D238" s="55">
        <f>+B238*Лист4!$C$26</f>
        <v>4652300</v>
      </c>
      <c r="E238" s="35">
        <v>11</v>
      </c>
      <c r="F238" s="149"/>
    </row>
    <row r="239" spans="1:6" s="99" customFormat="1" ht="22.8" x14ac:dyDescent="0.4">
      <c r="A239" s="26" t="s">
        <v>52</v>
      </c>
      <c r="B239" s="56">
        <v>1</v>
      </c>
      <c r="C239" s="82">
        <f>+Лист4!$C$26</f>
        <v>4652300</v>
      </c>
      <c r="D239" s="55">
        <f>+B239*Лист4!$C$26</f>
        <v>4652300</v>
      </c>
      <c r="E239" s="35">
        <v>11</v>
      </c>
      <c r="F239" s="149"/>
    </row>
    <row r="240" spans="1:6" s="99" customFormat="1" ht="22.8" x14ac:dyDescent="0.4">
      <c r="A240" s="26" t="s">
        <v>52</v>
      </c>
      <c r="B240" s="56">
        <v>1</v>
      </c>
      <c r="C240" s="82">
        <f>+Лист4!$C$26</f>
        <v>4652300</v>
      </c>
      <c r="D240" s="55">
        <f>+B240*Лист4!$C$26</f>
        <v>4652300</v>
      </c>
      <c r="E240" s="35">
        <v>11</v>
      </c>
      <c r="F240" s="149"/>
    </row>
    <row r="241" spans="1:6" s="99" customFormat="1" ht="22.8" x14ac:dyDescent="0.4">
      <c r="A241" s="26" t="s">
        <v>52</v>
      </c>
      <c r="B241" s="56">
        <v>1</v>
      </c>
      <c r="C241" s="82">
        <f>+Лист4!$C$26</f>
        <v>4652300</v>
      </c>
      <c r="D241" s="55">
        <f>+B241*Лист4!$C$26</f>
        <v>4652300</v>
      </c>
      <c r="E241" s="35">
        <v>11</v>
      </c>
      <c r="F241" s="149"/>
    </row>
    <row r="242" spans="1:6" s="99" customFormat="1" ht="22.8" x14ac:dyDescent="0.4">
      <c r="A242" s="26" t="s">
        <v>52</v>
      </c>
      <c r="B242" s="56">
        <v>1</v>
      </c>
      <c r="C242" s="82">
        <f>+Лист4!$C$26</f>
        <v>4652300</v>
      </c>
      <c r="D242" s="55">
        <f>+B242*Лист4!$C$26</f>
        <v>4652300</v>
      </c>
      <c r="E242" s="35">
        <v>11</v>
      </c>
      <c r="F242" s="149"/>
    </row>
    <row r="243" spans="1:6" s="99" customFormat="1" ht="22.8" x14ac:dyDescent="0.4">
      <c r="A243" s="26" t="s">
        <v>52</v>
      </c>
      <c r="B243" s="56">
        <v>1</v>
      </c>
      <c r="C243" s="82">
        <f>+Лист4!$C$26</f>
        <v>4652300</v>
      </c>
      <c r="D243" s="55">
        <f>+B243*Лист4!$C$26</f>
        <v>4652300</v>
      </c>
      <c r="E243" s="35">
        <v>11</v>
      </c>
      <c r="F243" s="149"/>
    </row>
    <row r="244" spans="1:6" s="99" customFormat="1" ht="22.8" x14ac:dyDescent="0.4">
      <c r="A244" s="26" t="s">
        <v>52</v>
      </c>
      <c r="B244" s="56">
        <v>1</v>
      </c>
      <c r="C244" s="82">
        <f>+Лист4!$C$26</f>
        <v>4652300</v>
      </c>
      <c r="D244" s="55">
        <f>+B244*Лист4!$C$26</f>
        <v>4652300</v>
      </c>
      <c r="E244" s="35">
        <v>11</v>
      </c>
      <c r="F244" s="149"/>
    </row>
    <row r="245" spans="1:6" s="99" customFormat="1" ht="22.8" x14ac:dyDescent="0.4">
      <c r="A245" s="26" t="s">
        <v>52</v>
      </c>
      <c r="B245" s="56">
        <v>1</v>
      </c>
      <c r="C245" s="82">
        <f>+Лист4!$C$26</f>
        <v>4652300</v>
      </c>
      <c r="D245" s="55">
        <f>+B245*Лист4!$C$26</f>
        <v>4652300</v>
      </c>
      <c r="E245" s="35">
        <v>11</v>
      </c>
      <c r="F245" s="149"/>
    </row>
    <row r="246" spans="1:6" s="99" customFormat="1" ht="22.8" x14ac:dyDescent="0.4">
      <c r="A246" s="26" t="s">
        <v>52</v>
      </c>
      <c r="B246" s="56">
        <v>1</v>
      </c>
      <c r="C246" s="82">
        <f>+Лист4!$C$26</f>
        <v>4652300</v>
      </c>
      <c r="D246" s="55">
        <f>+B246*Лист4!$C$26</f>
        <v>4652300</v>
      </c>
      <c r="E246" s="35">
        <v>11</v>
      </c>
      <c r="F246" s="149"/>
    </row>
    <row r="247" spans="1:6" s="99" customFormat="1" ht="22.8" x14ac:dyDescent="0.4">
      <c r="A247" s="26" t="s">
        <v>52</v>
      </c>
      <c r="B247" s="56">
        <v>1</v>
      </c>
      <c r="C247" s="82">
        <f>+Лист4!$C$26</f>
        <v>4652300</v>
      </c>
      <c r="D247" s="55">
        <f>+B247*Лист4!$C$26</f>
        <v>4652300</v>
      </c>
      <c r="E247" s="35">
        <v>11</v>
      </c>
      <c r="F247" s="149"/>
    </row>
    <row r="248" spans="1:6" s="99" customFormat="1" ht="22.8" x14ac:dyDescent="0.4">
      <c r="A248" s="26" t="s">
        <v>52</v>
      </c>
      <c r="B248" s="56">
        <v>1</v>
      </c>
      <c r="C248" s="82">
        <f>+Лист4!$C$26</f>
        <v>4652300</v>
      </c>
      <c r="D248" s="55">
        <f>+B248*Лист4!$C$26</f>
        <v>4652300</v>
      </c>
      <c r="E248" s="35">
        <v>11</v>
      </c>
      <c r="F248" s="149"/>
    </row>
    <row r="249" spans="1:6" s="99" customFormat="1" ht="22.8" x14ac:dyDescent="0.4">
      <c r="A249" s="26" t="s">
        <v>52</v>
      </c>
      <c r="B249" s="56">
        <v>1</v>
      </c>
      <c r="C249" s="82">
        <f>+Лист4!$C$26</f>
        <v>4652300</v>
      </c>
      <c r="D249" s="55">
        <f>+B249*Лист4!$C$26</f>
        <v>4652300</v>
      </c>
      <c r="E249" s="35">
        <v>11</v>
      </c>
      <c r="F249" s="149"/>
    </row>
    <row r="250" spans="1:6" s="99" customFormat="1" ht="22.8" x14ac:dyDescent="0.4">
      <c r="A250" s="26" t="s">
        <v>52</v>
      </c>
      <c r="B250" s="56">
        <v>1</v>
      </c>
      <c r="C250" s="82">
        <f>+Лист4!$C$26</f>
        <v>4652300</v>
      </c>
      <c r="D250" s="55">
        <f>+B250*Лист4!$C$26</f>
        <v>4652300</v>
      </c>
      <c r="E250" s="35">
        <v>11</v>
      </c>
      <c r="F250" s="149"/>
    </row>
    <row r="251" spans="1:6" s="99" customFormat="1" ht="22.8" x14ac:dyDescent="0.4">
      <c r="A251" s="26" t="s">
        <v>52</v>
      </c>
      <c r="B251" s="56">
        <v>1</v>
      </c>
      <c r="C251" s="82">
        <f>+Лист4!$C$26</f>
        <v>4652300</v>
      </c>
      <c r="D251" s="55">
        <f>+B251*Лист4!$C$26</f>
        <v>4652300</v>
      </c>
      <c r="E251" s="35">
        <v>11</v>
      </c>
      <c r="F251" s="149"/>
    </row>
    <row r="252" spans="1:6" s="99" customFormat="1" ht="22.8" x14ac:dyDescent="0.4">
      <c r="A252" s="26" t="s">
        <v>131</v>
      </c>
      <c r="B252" s="56">
        <v>1</v>
      </c>
      <c r="C252" s="82">
        <f>+Лист4!$C$25</f>
        <v>4349700</v>
      </c>
      <c r="D252" s="55">
        <f>+B252*Лист4!$C$25</f>
        <v>4349700</v>
      </c>
      <c r="E252" s="35">
        <v>10</v>
      </c>
      <c r="F252" s="149"/>
    </row>
    <row r="253" spans="1:6" s="99" customFormat="1" ht="22.8" x14ac:dyDescent="0.4">
      <c r="A253" s="26" t="s">
        <v>131</v>
      </c>
      <c r="B253" s="56">
        <v>1</v>
      </c>
      <c r="C253" s="82">
        <f>+Лист4!$C$25</f>
        <v>4349700</v>
      </c>
      <c r="D253" s="55">
        <f>+B253*Лист4!$C$25</f>
        <v>4349700</v>
      </c>
      <c r="E253" s="35">
        <v>10</v>
      </c>
      <c r="F253" s="149"/>
    </row>
    <row r="254" spans="1:6" s="99" customFormat="1" ht="22.8" x14ac:dyDescent="0.4">
      <c r="A254" s="26" t="s">
        <v>131</v>
      </c>
      <c r="B254" s="56">
        <v>1</v>
      </c>
      <c r="C254" s="82">
        <f>+Лист4!$C$25</f>
        <v>4349700</v>
      </c>
      <c r="D254" s="55">
        <f>+B254*Лист4!$C$25</f>
        <v>4349700</v>
      </c>
      <c r="E254" s="35">
        <v>10</v>
      </c>
      <c r="F254" s="149"/>
    </row>
    <row r="255" spans="1:6" s="99" customFormat="1" ht="22.8" x14ac:dyDescent="0.4">
      <c r="A255" s="26" t="s">
        <v>131</v>
      </c>
      <c r="B255" s="56">
        <v>1</v>
      </c>
      <c r="C255" s="82">
        <f>+Лист4!$C$25</f>
        <v>4349700</v>
      </c>
      <c r="D255" s="55">
        <f>+B255*Лист4!$C$25</f>
        <v>4349700</v>
      </c>
      <c r="E255" s="35">
        <v>10</v>
      </c>
      <c r="F255" s="149"/>
    </row>
    <row r="256" spans="1:6" s="99" customFormat="1" ht="22.8" x14ac:dyDescent="0.4">
      <c r="A256" s="26" t="s">
        <v>131</v>
      </c>
      <c r="B256" s="56">
        <v>1</v>
      </c>
      <c r="C256" s="82">
        <f>+Лист4!$C$25</f>
        <v>4349700</v>
      </c>
      <c r="D256" s="55">
        <f>+B256*Лист4!$C$25</f>
        <v>4349700</v>
      </c>
      <c r="E256" s="35">
        <v>10</v>
      </c>
      <c r="F256" s="149"/>
    </row>
    <row r="257" spans="1:21" s="99" customFormat="1" ht="22.8" x14ac:dyDescent="0.4">
      <c r="A257" s="26" t="s">
        <v>131</v>
      </c>
      <c r="B257" s="56">
        <v>1</v>
      </c>
      <c r="C257" s="82">
        <f>+Лист4!$C$25</f>
        <v>4349700</v>
      </c>
      <c r="D257" s="55">
        <f>+B257*Лист4!$C$25</f>
        <v>4349700</v>
      </c>
      <c r="E257" s="35">
        <v>10</v>
      </c>
      <c r="F257" s="149"/>
    </row>
    <row r="258" spans="1:21" s="99" customFormat="1" ht="22.8" x14ac:dyDescent="0.4">
      <c r="A258" s="26" t="s">
        <v>197</v>
      </c>
      <c r="B258" s="56">
        <v>1</v>
      </c>
      <c r="C258" s="82">
        <f>+Лист4!$C$24</f>
        <v>4054100</v>
      </c>
      <c r="D258" s="55">
        <f>+B258*Лист4!$C$24</f>
        <v>4054100</v>
      </c>
      <c r="E258" s="35">
        <v>9</v>
      </c>
      <c r="F258" s="149"/>
    </row>
    <row r="259" spans="1:21" s="99" customFormat="1" ht="22.8" x14ac:dyDescent="0.4">
      <c r="A259" s="26" t="s">
        <v>197</v>
      </c>
      <c r="B259" s="56">
        <v>1</v>
      </c>
      <c r="C259" s="82">
        <f>+Лист4!$C$24</f>
        <v>4054100</v>
      </c>
      <c r="D259" s="55">
        <f>+B259*Лист4!$C$24</f>
        <v>4054100</v>
      </c>
      <c r="E259" s="35">
        <v>9</v>
      </c>
      <c r="F259" s="149"/>
    </row>
    <row r="260" spans="1:21" s="99" customFormat="1" ht="22.8" x14ac:dyDescent="0.4">
      <c r="A260" s="26" t="s">
        <v>197</v>
      </c>
      <c r="B260" s="56">
        <v>1</v>
      </c>
      <c r="C260" s="82">
        <f>+Лист4!$C$24</f>
        <v>4054100</v>
      </c>
      <c r="D260" s="55">
        <f>+B260*Лист4!$C$24</f>
        <v>4054100</v>
      </c>
      <c r="E260" s="35">
        <v>9</v>
      </c>
      <c r="F260" s="149"/>
    </row>
    <row r="261" spans="1:21" s="99" customFormat="1" ht="22.8" x14ac:dyDescent="0.4">
      <c r="A261" s="26" t="s">
        <v>197</v>
      </c>
      <c r="B261" s="56">
        <v>1</v>
      </c>
      <c r="C261" s="82">
        <f>+Лист4!$C$24</f>
        <v>4054100</v>
      </c>
      <c r="D261" s="55">
        <f>+B261*Лист4!$C$24</f>
        <v>4054100</v>
      </c>
      <c r="E261" s="35">
        <v>9</v>
      </c>
      <c r="F261" s="149"/>
    </row>
    <row r="262" spans="1:21" s="99" customFormat="1" ht="22.8" x14ac:dyDescent="0.4">
      <c r="A262" s="26" t="s">
        <v>197</v>
      </c>
      <c r="B262" s="56">
        <v>1</v>
      </c>
      <c r="C262" s="82">
        <f>+Лист4!$C$24</f>
        <v>4054100</v>
      </c>
      <c r="D262" s="55">
        <f>+B262*Лист4!$C$24</f>
        <v>4054100</v>
      </c>
      <c r="E262" s="35">
        <v>9</v>
      </c>
      <c r="F262" s="149"/>
    </row>
    <row r="263" spans="1:21" s="99" customFormat="1" ht="22.8" x14ac:dyDescent="0.4">
      <c r="A263" s="26" t="s">
        <v>197</v>
      </c>
      <c r="B263" s="56">
        <v>1</v>
      </c>
      <c r="C263" s="82">
        <f>+Лист4!$C$24</f>
        <v>4054100</v>
      </c>
      <c r="D263" s="55">
        <f>+B263*Лист4!$C$24</f>
        <v>4054100</v>
      </c>
      <c r="E263" s="35">
        <v>9</v>
      </c>
      <c r="F263" s="149"/>
    </row>
    <row r="264" spans="1:21" s="99" customFormat="1" ht="22.8" x14ac:dyDescent="0.4">
      <c r="A264" s="26" t="s">
        <v>134</v>
      </c>
      <c r="B264" s="56">
        <v>1</v>
      </c>
      <c r="C264" s="82">
        <f>+Лист4!$C$23</f>
        <v>3765300</v>
      </c>
      <c r="D264" s="55">
        <f>+B264*Лист4!$C$23</f>
        <v>3765300</v>
      </c>
      <c r="E264" s="35">
        <v>8</v>
      </c>
      <c r="F264" s="149"/>
    </row>
    <row r="265" spans="1:21" s="99" customFormat="1" ht="22.8" x14ac:dyDescent="0.4">
      <c r="A265" s="26" t="s">
        <v>134</v>
      </c>
      <c r="B265" s="56">
        <v>1</v>
      </c>
      <c r="C265" s="82">
        <f>+Лист4!$C$23</f>
        <v>3765300</v>
      </c>
      <c r="D265" s="55">
        <f>+B265*Лист4!$C$23</f>
        <v>3765300</v>
      </c>
      <c r="E265" s="35">
        <v>8</v>
      </c>
      <c r="F265" s="149"/>
    </row>
    <row r="266" spans="1:21" s="99" customFormat="1" ht="22.8" x14ac:dyDescent="0.4">
      <c r="A266" s="26" t="s">
        <v>134</v>
      </c>
      <c r="B266" s="56">
        <v>1</v>
      </c>
      <c r="C266" s="82">
        <f>+Лист4!$C$23</f>
        <v>3765300</v>
      </c>
      <c r="D266" s="55">
        <f>+B266*Лист4!$C$23</f>
        <v>3765300</v>
      </c>
      <c r="E266" s="35">
        <v>8</v>
      </c>
      <c r="F266" s="149"/>
    </row>
    <row r="267" spans="1:21" s="99" customFormat="1" ht="22.8" x14ac:dyDescent="0.4">
      <c r="A267" s="26" t="s">
        <v>134</v>
      </c>
      <c r="B267" s="56">
        <v>1</v>
      </c>
      <c r="C267" s="82">
        <f>+Лист4!$C$23</f>
        <v>3765300</v>
      </c>
      <c r="D267" s="55">
        <f>+B267*Лист4!$C$23</f>
        <v>3765300</v>
      </c>
      <c r="E267" s="35">
        <v>8</v>
      </c>
      <c r="F267" s="149"/>
    </row>
    <row r="268" spans="1:21" s="99" customFormat="1" ht="22.8" x14ac:dyDescent="0.4">
      <c r="A268" s="26" t="s">
        <v>134</v>
      </c>
      <c r="B268" s="56">
        <v>1</v>
      </c>
      <c r="C268" s="82">
        <f>+Лист4!$C$23</f>
        <v>3765300</v>
      </c>
      <c r="D268" s="55">
        <f>+B268*Лист4!$C$23</f>
        <v>3765300</v>
      </c>
      <c r="E268" s="35">
        <v>8</v>
      </c>
      <c r="F268" s="149"/>
    </row>
    <row r="269" spans="1:21" ht="22.8" x14ac:dyDescent="0.4">
      <c r="A269" s="26" t="s">
        <v>134</v>
      </c>
      <c r="B269" s="56">
        <v>1</v>
      </c>
      <c r="C269" s="82">
        <f>+Лист4!$C$23</f>
        <v>3765300</v>
      </c>
      <c r="D269" s="55">
        <f>+B269*Лист4!$C$23</f>
        <v>3765300</v>
      </c>
      <c r="E269" s="35">
        <v>8</v>
      </c>
      <c r="F269" s="149"/>
      <c r="U269" s="115"/>
    </row>
    <row r="270" spans="1:21" s="99" customFormat="1" ht="22.8" x14ac:dyDescent="0.4">
      <c r="A270" s="51" t="s">
        <v>5</v>
      </c>
      <c r="B270" s="24">
        <f>SUM(B238:B269)</f>
        <v>32</v>
      </c>
      <c r="C270" s="24"/>
      <c r="D270" s="119">
        <f>SUM(D238:D269)</f>
        <v>138146800</v>
      </c>
      <c r="E270" s="48"/>
      <c r="F270" s="149"/>
    </row>
    <row r="271" spans="1:21" s="99" customFormat="1" ht="22.8" x14ac:dyDescent="0.4">
      <c r="A271" s="51" t="s">
        <v>274</v>
      </c>
      <c r="B271" s="24">
        <f>+B15+B21+B36+B37+B38+B39+B45+B32+B50+B28+B53+B95+B104+B109+B115+B123+B129+B134+B154+B171+B183+B187+B194+B203+B208+B213+B219+B225+B236+B270</f>
        <v>202</v>
      </c>
      <c r="C271" s="24"/>
      <c r="D271" s="119">
        <f>+D15+D21+D36+D37+D38+D39+D45+D32+D50+D28+D53+D95+D104+D109+D115+D123+D129+D134+D154+D171+D183+D187+D194+D203+D208+D213+D219+D225+D236+D270</f>
        <v>1192861200</v>
      </c>
      <c r="E271" s="51"/>
      <c r="F271" s="14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21" ht="22.8" x14ac:dyDescent="0.4">
      <c r="A272" s="8"/>
      <c r="B272" s="42"/>
      <c r="C272" s="42"/>
      <c r="D272" s="121"/>
      <c r="E272" s="35"/>
    </row>
  </sheetData>
  <autoFilter ref="A11:E271" xr:uid="{00000000-0009-0000-0000-000003000000}"/>
  <mergeCells count="5">
    <mergeCell ref="B1:E1"/>
    <mergeCell ref="B2:E2"/>
    <mergeCell ref="A7:E7"/>
    <mergeCell ref="A136:B136"/>
    <mergeCell ref="A6:F6"/>
  </mergeCells>
  <pageMargins left="0.70866141732283472" right="0.70866141732283472" top="0.78740157480314965" bottom="0.74803149606299213" header="0.31496062992125984" footer="0.31496062992125984"/>
  <pageSetup paperSize="9" scale="5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>
      <selection activeCell="C1" sqref="C1"/>
    </sheetView>
  </sheetViews>
  <sheetFormatPr defaultRowHeight="21" x14ac:dyDescent="0.3"/>
  <cols>
    <col min="1" max="1" width="61.5546875" customWidth="1"/>
    <col min="2" max="2" width="23" bestFit="1" customWidth="1"/>
    <col min="3" max="3" width="19.5546875" bestFit="1" customWidth="1"/>
    <col min="4" max="4" width="13.33203125" customWidth="1"/>
    <col min="5" max="5" width="9.109375" style="127"/>
    <col min="6" max="6" width="20.44140625" style="127" bestFit="1" customWidth="1"/>
    <col min="7" max="7" width="17" style="127" bestFit="1" customWidth="1"/>
    <col min="8" max="8" width="13.88671875" style="127" bestFit="1" customWidth="1"/>
  </cols>
  <sheetData>
    <row r="1" spans="1:6" x14ac:dyDescent="0.3">
      <c r="C1" s="123" t="s">
        <v>334</v>
      </c>
    </row>
    <row r="2" spans="1:6" ht="25.8" thickBot="1" x14ac:dyDescent="0.5">
      <c r="A2" s="124" t="s">
        <v>335</v>
      </c>
      <c r="B2" s="125">
        <v>1155000</v>
      </c>
      <c r="C2" s="126">
        <v>3</v>
      </c>
      <c r="D2" s="122"/>
    </row>
    <row r="3" spans="1:6" ht="29.25" customHeight="1" x14ac:dyDescent="0.3">
      <c r="A3" s="103" t="s">
        <v>331</v>
      </c>
      <c r="B3" s="104" t="s">
        <v>332</v>
      </c>
      <c r="C3" s="104" t="s">
        <v>333</v>
      </c>
      <c r="D3" s="105" t="s">
        <v>0</v>
      </c>
    </row>
    <row r="4" spans="1:6" ht="22.8" x14ac:dyDescent="0.3">
      <c r="A4" s="106" t="s">
        <v>239</v>
      </c>
      <c r="B4" s="107">
        <v>1</v>
      </c>
      <c r="C4" s="108">
        <v>3465000</v>
      </c>
      <c r="D4" s="109">
        <v>1</v>
      </c>
      <c r="E4" s="127">
        <v>0</v>
      </c>
      <c r="F4" s="127">
        <f>+E4*C4</f>
        <v>0</v>
      </c>
    </row>
    <row r="5" spans="1:6" ht="22.8" x14ac:dyDescent="0.3">
      <c r="A5" s="106" t="s">
        <v>13</v>
      </c>
      <c r="B5" s="107">
        <v>1</v>
      </c>
      <c r="C5" s="108">
        <v>5214800</v>
      </c>
      <c r="D5" s="109">
        <v>7</v>
      </c>
      <c r="E5" s="127">
        <v>1</v>
      </c>
      <c r="F5" s="127">
        <f t="shared" ref="F5:F16" si="0">+E5*C5</f>
        <v>5214800</v>
      </c>
    </row>
    <row r="6" spans="1:6" ht="22.8" x14ac:dyDescent="0.3">
      <c r="A6" s="110" t="s">
        <v>134</v>
      </c>
      <c r="B6" s="107">
        <v>1</v>
      </c>
      <c r="C6" s="108">
        <v>5648000</v>
      </c>
      <c r="D6" s="109">
        <v>8</v>
      </c>
      <c r="E6" s="127">
        <v>15</v>
      </c>
      <c r="F6" s="127">
        <f t="shared" si="0"/>
        <v>84720000</v>
      </c>
    </row>
    <row r="7" spans="1:6" ht="22.8" x14ac:dyDescent="0.3">
      <c r="A7" s="106" t="s">
        <v>197</v>
      </c>
      <c r="B7" s="107">
        <v>1</v>
      </c>
      <c r="C7" s="108">
        <v>6081100</v>
      </c>
      <c r="D7" s="109">
        <v>9</v>
      </c>
      <c r="E7" s="127">
        <v>23</v>
      </c>
      <c r="F7" s="127">
        <f t="shared" si="0"/>
        <v>139865300</v>
      </c>
    </row>
    <row r="8" spans="1:6" ht="22.8" x14ac:dyDescent="0.3">
      <c r="A8" s="106" t="s">
        <v>131</v>
      </c>
      <c r="B8" s="107">
        <v>1</v>
      </c>
      <c r="C8" s="108">
        <v>6524600</v>
      </c>
      <c r="D8" s="109">
        <v>10</v>
      </c>
      <c r="E8" s="127">
        <v>44</v>
      </c>
      <c r="F8" s="127">
        <f t="shared" si="0"/>
        <v>287082400</v>
      </c>
    </row>
    <row r="9" spans="1:6" ht="22.8" x14ac:dyDescent="0.3">
      <c r="A9" s="106" t="s">
        <v>212</v>
      </c>
      <c r="B9" s="107">
        <v>1</v>
      </c>
      <c r="C9" s="108">
        <v>6978500</v>
      </c>
      <c r="D9" s="109">
        <v>11</v>
      </c>
      <c r="E9" s="127">
        <v>31</v>
      </c>
      <c r="F9" s="127">
        <f t="shared" si="0"/>
        <v>216333500</v>
      </c>
    </row>
    <row r="10" spans="1:6" ht="22.8" x14ac:dyDescent="0.3">
      <c r="A10" s="106" t="s">
        <v>23</v>
      </c>
      <c r="B10" s="107">
        <v>1</v>
      </c>
      <c r="C10" s="108">
        <v>7442800</v>
      </c>
      <c r="D10" s="109">
        <v>12</v>
      </c>
      <c r="E10" s="127">
        <v>16</v>
      </c>
      <c r="F10" s="127">
        <f t="shared" si="0"/>
        <v>119084800</v>
      </c>
    </row>
    <row r="11" spans="1:6" ht="22.8" x14ac:dyDescent="0.3">
      <c r="A11" s="106" t="s">
        <v>21</v>
      </c>
      <c r="B11" s="107">
        <v>1</v>
      </c>
      <c r="C11" s="108">
        <v>7914100</v>
      </c>
      <c r="D11" s="109">
        <v>13</v>
      </c>
      <c r="E11" s="127">
        <v>10</v>
      </c>
      <c r="F11" s="127">
        <f t="shared" si="0"/>
        <v>79141000</v>
      </c>
    </row>
    <row r="12" spans="1:6" ht="22.8" x14ac:dyDescent="0.3">
      <c r="A12" s="106" t="s">
        <v>6</v>
      </c>
      <c r="B12" s="107">
        <v>1</v>
      </c>
      <c r="C12" s="108">
        <v>8388800</v>
      </c>
      <c r="D12" s="109">
        <v>14</v>
      </c>
      <c r="E12" s="127">
        <v>1</v>
      </c>
      <c r="F12" s="127">
        <f t="shared" si="0"/>
        <v>8388800</v>
      </c>
    </row>
    <row r="13" spans="1:6" ht="22.8" x14ac:dyDescent="0.3">
      <c r="A13" s="106" t="s">
        <v>15</v>
      </c>
      <c r="B13" s="107">
        <v>1</v>
      </c>
      <c r="C13" s="108">
        <v>8388800</v>
      </c>
      <c r="D13" s="109">
        <v>14</v>
      </c>
      <c r="E13" s="127">
        <v>15</v>
      </c>
      <c r="F13" s="127">
        <f t="shared" si="0"/>
        <v>125832000</v>
      </c>
    </row>
    <row r="14" spans="1:6" ht="22.8" x14ac:dyDescent="0.3">
      <c r="A14" s="106" t="s">
        <v>3</v>
      </c>
      <c r="B14" s="107">
        <v>1</v>
      </c>
      <c r="C14" s="108">
        <v>8873900</v>
      </c>
      <c r="D14" s="109">
        <v>15</v>
      </c>
      <c r="E14" s="127">
        <v>1</v>
      </c>
      <c r="F14" s="127">
        <f t="shared" si="0"/>
        <v>8873900</v>
      </c>
    </row>
    <row r="15" spans="1:6" ht="22.8" x14ac:dyDescent="0.3">
      <c r="A15" s="106" t="s">
        <v>4</v>
      </c>
      <c r="B15" s="107">
        <v>1</v>
      </c>
      <c r="C15" s="108">
        <v>8430300</v>
      </c>
      <c r="D15" s="109">
        <v>15</v>
      </c>
      <c r="E15" s="127">
        <v>2</v>
      </c>
      <c r="F15" s="127">
        <f t="shared" si="0"/>
        <v>16860600</v>
      </c>
    </row>
    <row r="16" spans="1:6" ht="23.4" thickBot="1" x14ac:dyDescent="0.35">
      <c r="A16" s="111" t="s">
        <v>2</v>
      </c>
      <c r="B16" s="112">
        <v>1</v>
      </c>
      <c r="C16" s="113">
        <v>9369400</v>
      </c>
      <c r="D16" s="114">
        <v>16</v>
      </c>
      <c r="E16" s="127">
        <v>1</v>
      </c>
      <c r="F16" s="127">
        <f t="shared" si="0"/>
        <v>9369400</v>
      </c>
    </row>
    <row r="17" spans="1:6" x14ac:dyDescent="0.3">
      <c r="E17" s="128">
        <f>SUM(E4:E16)</f>
        <v>160</v>
      </c>
      <c r="F17" s="128">
        <f>SUM(F4:F16)</f>
        <v>1100766500</v>
      </c>
    </row>
    <row r="18" spans="1:6" x14ac:dyDescent="0.3">
      <c r="C18" s="123" t="s">
        <v>334</v>
      </c>
    </row>
    <row r="19" spans="1:6" ht="25.8" thickBot="1" x14ac:dyDescent="0.5">
      <c r="A19" s="124" t="s">
        <v>335</v>
      </c>
      <c r="B19" s="125">
        <v>1155000</v>
      </c>
      <c r="C19" s="126">
        <v>2</v>
      </c>
    </row>
    <row r="20" spans="1:6" ht="22.8" x14ac:dyDescent="0.3">
      <c r="A20" s="103" t="s">
        <v>331</v>
      </c>
      <c r="B20" s="104" t="s">
        <v>332</v>
      </c>
      <c r="C20" s="104" t="s">
        <v>333</v>
      </c>
      <c r="D20" s="105" t="s">
        <v>0</v>
      </c>
    </row>
    <row r="21" spans="1:6" ht="22.8" x14ac:dyDescent="0.3">
      <c r="A21" s="106" t="s">
        <v>239</v>
      </c>
      <c r="B21" s="107">
        <v>1</v>
      </c>
      <c r="C21" s="129">
        <v>2310000</v>
      </c>
      <c r="D21" s="109">
        <v>1</v>
      </c>
      <c r="E21" s="127">
        <v>3</v>
      </c>
      <c r="F21" s="127">
        <f>+E21*C21</f>
        <v>6930000</v>
      </c>
    </row>
    <row r="22" spans="1:6" ht="22.8" x14ac:dyDescent="0.3">
      <c r="A22" s="106" t="s">
        <v>13</v>
      </c>
      <c r="B22" s="107">
        <v>1</v>
      </c>
      <c r="C22" s="129">
        <v>3476600</v>
      </c>
      <c r="D22" s="109">
        <v>7</v>
      </c>
      <c r="E22" s="127">
        <v>0</v>
      </c>
      <c r="F22" s="127">
        <f t="shared" ref="F22:F29" si="1">+E22*C22</f>
        <v>0</v>
      </c>
    </row>
    <row r="23" spans="1:6" ht="22.8" x14ac:dyDescent="0.3">
      <c r="A23" s="110" t="s">
        <v>134</v>
      </c>
      <c r="B23" s="107">
        <v>1</v>
      </c>
      <c r="C23" s="129">
        <v>3765300</v>
      </c>
      <c r="D23" s="109">
        <v>8</v>
      </c>
      <c r="E23" s="127">
        <v>6</v>
      </c>
      <c r="F23" s="127">
        <f t="shared" si="1"/>
        <v>22591800</v>
      </c>
    </row>
    <row r="24" spans="1:6" ht="22.8" x14ac:dyDescent="0.3">
      <c r="A24" s="106" t="s">
        <v>197</v>
      </c>
      <c r="B24" s="107">
        <v>1</v>
      </c>
      <c r="C24" s="129">
        <v>4054100</v>
      </c>
      <c r="D24" s="109">
        <v>9</v>
      </c>
      <c r="E24" s="127">
        <v>9</v>
      </c>
      <c r="F24" s="127">
        <f t="shared" si="1"/>
        <v>36486900</v>
      </c>
    </row>
    <row r="25" spans="1:6" ht="22.8" x14ac:dyDescent="0.3">
      <c r="A25" s="106" t="s">
        <v>131</v>
      </c>
      <c r="B25" s="107">
        <v>1</v>
      </c>
      <c r="C25" s="129">
        <v>4349700</v>
      </c>
      <c r="D25" s="109">
        <v>10</v>
      </c>
      <c r="E25" s="127">
        <v>8</v>
      </c>
      <c r="F25" s="127">
        <f t="shared" si="1"/>
        <v>34797600</v>
      </c>
    </row>
    <row r="26" spans="1:6" ht="22.8" x14ac:dyDescent="0.3">
      <c r="A26" s="106" t="s">
        <v>52</v>
      </c>
      <c r="B26" s="107">
        <v>1</v>
      </c>
      <c r="C26" s="129">
        <v>4652300</v>
      </c>
      <c r="D26" s="109">
        <v>11</v>
      </c>
      <c r="E26" s="127">
        <v>15</v>
      </c>
      <c r="F26" s="127">
        <f t="shared" si="1"/>
        <v>69784500</v>
      </c>
    </row>
    <row r="27" spans="1:6" ht="22.8" x14ac:dyDescent="0.3">
      <c r="A27" s="106" t="s">
        <v>23</v>
      </c>
      <c r="B27" s="107">
        <v>1</v>
      </c>
      <c r="C27" s="129">
        <v>4961900</v>
      </c>
      <c r="D27" s="109">
        <v>12</v>
      </c>
      <c r="E27" s="127">
        <v>0</v>
      </c>
      <c r="F27" s="127">
        <f t="shared" si="1"/>
        <v>0</v>
      </c>
    </row>
    <row r="28" spans="1:6" ht="22.8" x14ac:dyDescent="0.3">
      <c r="A28" s="106" t="s">
        <v>336</v>
      </c>
      <c r="B28" s="107">
        <v>1</v>
      </c>
      <c r="C28" s="129">
        <v>5276000</v>
      </c>
      <c r="D28" s="109">
        <v>13</v>
      </c>
      <c r="E28" s="127">
        <v>1</v>
      </c>
      <c r="F28" s="127">
        <f t="shared" si="1"/>
        <v>5276000</v>
      </c>
    </row>
    <row r="29" spans="1:6" ht="22.8" x14ac:dyDescent="0.3">
      <c r="A29" s="106" t="s">
        <v>15</v>
      </c>
      <c r="B29" s="107">
        <v>1</v>
      </c>
      <c r="C29" s="129">
        <v>5592500</v>
      </c>
      <c r="D29" s="109">
        <v>14</v>
      </c>
      <c r="E29" s="127">
        <v>1</v>
      </c>
      <c r="F29" s="127">
        <f t="shared" si="1"/>
        <v>5592500</v>
      </c>
    </row>
    <row r="30" spans="1:6" x14ac:dyDescent="0.3">
      <c r="E30" s="128">
        <f>SUM(E21:E29)</f>
        <v>43</v>
      </c>
      <c r="F30" s="128">
        <f>SUM(F21:F29)</f>
        <v>181459300</v>
      </c>
    </row>
    <row r="32" spans="1:6" x14ac:dyDescent="0.3">
      <c r="F32" s="127">
        <f>+F17+F30-'Лист1 (2)'!D271</f>
        <v>89364600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38"/>
  <sheetViews>
    <sheetView topLeftCell="B5" zoomScale="85" zoomScaleNormal="85" zoomScalePageLayoutView="70" workbookViewId="0">
      <selection activeCell="E9" sqref="E1:E1048576"/>
    </sheetView>
  </sheetViews>
  <sheetFormatPr defaultColWidth="9.109375" defaultRowHeight="23.4" x14ac:dyDescent="0.45"/>
  <cols>
    <col min="1" max="1" width="92.6640625" style="5" customWidth="1"/>
    <col min="2" max="2" width="23.44140625" style="66" customWidth="1"/>
    <col min="3" max="3" width="28.88671875" style="85" customWidth="1"/>
    <col min="4" max="4" width="27.6640625" style="58" customWidth="1"/>
    <col min="5" max="5" width="17.88671875" style="12" customWidth="1"/>
    <col min="6" max="6" width="16" style="12" customWidth="1"/>
    <col min="7" max="7" width="14.88671875" style="5" customWidth="1"/>
    <col min="8" max="8" width="9.109375" style="5" customWidth="1"/>
    <col min="9" max="9" width="15.44140625" style="5" bestFit="1" customWidth="1"/>
    <col min="10" max="11" width="9.109375" style="5" customWidth="1"/>
    <col min="12" max="12" width="28.88671875" style="11" customWidth="1"/>
    <col min="13" max="37" width="9.109375" style="5" customWidth="1"/>
    <col min="38" max="16384" width="9.109375" style="5"/>
  </cols>
  <sheetData>
    <row r="1" spans="1:42" ht="62.25" customHeight="1" x14ac:dyDescent="0.4">
      <c r="B1" s="265"/>
      <c r="C1" s="265"/>
      <c r="D1" s="265"/>
      <c r="E1" s="14"/>
      <c r="F1" s="14"/>
      <c r="L1" s="5"/>
    </row>
    <row r="2" spans="1:42" ht="93" customHeight="1" x14ac:dyDescent="0.4">
      <c r="A2" s="13"/>
      <c r="B2" s="264"/>
      <c r="C2" s="264"/>
      <c r="D2" s="264"/>
      <c r="E2" s="15"/>
      <c r="F2" s="15"/>
      <c r="L2" s="5"/>
    </row>
    <row r="3" spans="1:42" ht="28.5" customHeight="1" x14ac:dyDescent="0.4">
      <c r="A3" s="13"/>
      <c r="E3" s="15"/>
      <c r="F3" s="15"/>
    </row>
    <row r="4" spans="1:42" ht="81.75" customHeight="1" x14ac:dyDescent="0.4">
      <c r="A4" s="13"/>
      <c r="E4" s="15"/>
      <c r="F4" s="15"/>
    </row>
    <row r="5" spans="1:42" ht="55.5" customHeight="1" x14ac:dyDescent="0.4">
      <c r="A5" s="13"/>
      <c r="E5" s="15"/>
      <c r="F5" s="15"/>
    </row>
    <row r="6" spans="1:42" ht="81.75" customHeight="1" x14ac:dyDescent="0.4">
      <c r="A6" s="261" t="s">
        <v>261</v>
      </c>
      <c r="B6" s="261"/>
      <c r="C6" s="261"/>
      <c r="D6" s="261"/>
      <c r="E6" s="15"/>
      <c r="F6" s="15"/>
      <c r="L6" s="5"/>
    </row>
    <row r="7" spans="1:42" ht="22.8" x14ac:dyDescent="0.4">
      <c r="A7" s="261" t="s">
        <v>247</v>
      </c>
      <c r="B7" s="261"/>
      <c r="C7" s="261"/>
      <c r="D7" s="261"/>
      <c r="E7" s="15"/>
      <c r="F7" s="15"/>
      <c r="L7" s="5"/>
    </row>
    <row r="8" spans="1:42" thickBot="1" x14ac:dyDescent="0.45">
      <c r="A8" s="24"/>
      <c r="C8" s="86" t="s">
        <v>303</v>
      </c>
      <c r="D8" s="60"/>
      <c r="E8" s="15"/>
      <c r="F8" s="15"/>
      <c r="L8" s="53" t="s">
        <v>273</v>
      </c>
    </row>
    <row r="9" spans="1:42" ht="106.5" customHeight="1" thickBot="1" x14ac:dyDescent="0.45">
      <c r="A9" s="52" t="s">
        <v>265</v>
      </c>
      <c r="B9" s="67" t="s">
        <v>262</v>
      </c>
      <c r="C9" s="87" t="s">
        <v>263</v>
      </c>
      <c r="D9" s="68" t="s">
        <v>0</v>
      </c>
      <c r="E9" s="24"/>
      <c r="F9" s="24"/>
      <c r="L9" s="44" t="s">
        <v>263</v>
      </c>
    </row>
    <row r="10" spans="1:42" thickBot="1" x14ac:dyDescent="0.45">
      <c r="A10" s="37">
        <v>1</v>
      </c>
      <c r="B10" s="69">
        <v>2</v>
      </c>
      <c r="C10" s="88">
        <v>4</v>
      </c>
      <c r="D10" s="70">
        <v>3</v>
      </c>
      <c r="E10" s="24"/>
      <c r="F10" s="24"/>
      <c r="L10" s="3">
        <v>4</v>
      </c>
    </row>
    <row r="11" spans="1:42" ht="22.8" x14ac:dyDescent="0.4">
      <c r="A11" s="27" t="s">
        <v>1</v>
      </c>
      <c r="B11" s="59"/>
      <c r="C11" s="89"/>
      <c r="D11" s="60"/>
      <c r="E11" s="25"/>
      <c r="F11" s="25"/>
      <c r="L11" s="49"/>
    </row>
    <row r="12" spans="1:42" thickBot="1" x14ac:dyDescent="0.45">
      <c r="A12" s="26" t="s">
        <v>2</v>
      </c>
      <c r="B12" s="59">
        <v>1</v>
      </c>
      <c r="C12" s="89">
        <f>ROUND(L12/100,0)*100</f>
        <v>9369400</v>
      </c>
      <c r="D12" s="60">
        <v>16</v>
      </c>
      <c r="E12" s="2">
        <v>8517600</v>
      </c>
      <c r="F12" s="30" t="e">
        <f>+#REF!*#REF!*G12</f>
        <v>#REF!</v>
      </c>
      <c r="G12" s="5">
        <v>2.7040000000000002</v>
      </c>
      <c r="I12" s="57">
        <f>ROUND(L12/100,0)*100</f>
        <v>9369400</v>
      </c>
      <c r="L12" s="49">
        <v>9369360</v>
      </c>
      <c r="AM12" s="5" t="e">
        <f>VLOOKUP(D12,AN:AO,2,0)*B12</f>
        <v>#N/A</v>
      </c>
      <c r="AO12" s="5">
        <v>16</v>
      </c>
      <c r="AP12" s="5">
        <v>1000</v>
      </c>
    </row>
    <row r="13" spans="1:42" thickBot="1" x14ac:dyDescent="0.45">
      <c r="A13" s="26" t="s">
        <v>3</v>
      </c>
      <c r="B13" s="59">
        <v>1</v>
      </c>
      <c r="C13" s="89">
        <f t="shared" ref="C13:C14" si="0">ROUND(L13/100,0)*100</f>
        <v>8873900</v>
      </c>
      <c r="D13" s="60">
        <v>15</v>
      </c>
      <c r="E13" s="2">
        <v>8067200</v>
      </c>
      <c r="F13" s="30" t="e">
        <f>+#REF!*#REF!*G13</f>
        <v>#REF!</v>
      </c>
      <c r="G13" s="5">
        <v>2.5609999999999999</v>
      </c>
      <c r="I13" s="57">
        <f t="shared" ref="I13:I14" si="1">ROUND(L13/100,0)*100</f>
        <v>8873900</v>
      </c>
      <c r="L13" s="49">
        <v>8873865</v>
      </c>
    </row>
    <row r="14" spans="1:42" thickBot="1" x14ac:dyDescent="0.45">
      <c r="A14" s="26" t="s">
        <v>4</v>
      </c>
      <c r="B14" s="59">
        <v>1</v>
      </c>
      <c r="C14" s="89">
        <f t="shared" si="0"/>
        <v>8430300</v>
      </c>
      <c r="D14" s="60">
        <v>15</v>
      </c>
      <c r="E14" s="2">
        <v>7664000</v>
      </c>
      <c r="F14" s="30" t="e">
        <f>+#REF!*#REF!*G14</f>
        <v>#REF!</v>
      </c>
      <c r="G14" s="5">
        <v>2.4329999999999998</v>
      </c>
      <c r="I14" s="57">
        <f t="shared" si="1"/>
        <v>8430300</v>
      </c>
      <c r="L14" s="49">
        <v>8430345</v>
      </c>
    </row>
    <row r="15" spans="1:42" ht="22.8" x14ac:dyDescent="0.4">
      <c r="A15" s="27" t="s">
        <v>5</v>
      </c>
      <c r="B15" s="71">
        <f>SUM(B12:B14)</f>
        <v>3</v>
      </c>
      <c r="C15" s="90">
        <f>SUM(C12:C14)</f>
        <v>26673600</v>
      </c>
      <c r="D15" s="72"/>
      <c r="E15" s="27"/>
      <c r="F15" s="27"/>
      <c r="L15" s="50">
        <f>SUM(L12:L14)</f>
        <v>26673570</v>
      </c>
    </row>
    <row r="16" spans="1:42" ht="22.8" x14ac:dyDescent="0.4">
      <c r="A16" s="27" t="s">
        <v>277</v>
      </c>
      <c r="B16" s="71"/>
      <c r="C16" s="89"/>
      <c r="D16" s="60"/>
      <c r="E16" s="25"/>
      <c r="F16" s="25"/>
      <c r="L16" s="49"/>
    </row>
    <row r="17" spans="1:12" thickBot="1" x14ac:dyDescent="0.45">
      <c r="A17" s="26" t="s">
        <v>231</v>
      </c>
      <c r="B17" s="59">
        <v>1</v>
      </c>
      <c r="C17" s="89">
        <f t="shared" ref="C17:C20" si="2">ROUND(L17/100,0)*100</f>
        <v>8388800</v>
      </c>
      <c r="D17" s="60">
        <v>14</v>
      </c>
      <c r="E17" s="2">
        <v>7626200</v>
      </c>
      <c r="F17" s="30" t="e">
        <f>+#REF!*#REF!*G17</f>
        <v>#REF!</v>
      </c>
      <c r="G17" s="5">
        <v>2.4209999999999998</v>
      </c>
      <c r="L17" s="49">
        <v>8388765</v>
      </c>
    </row>
    <row r="18" spans="1:12" thickBot="1" x14ac:dyDescent="0.45">
      <c r="A18" s="26" t="s">
        <v>232</v>
      </c>
      <c r="B18" s="59">
        <v>1</v>
      </c>
      <c r="C18" s="89">
        <f t="shared" si="2"/>
        <v>7914100</v>
      </c>
      <c r="D18" s="60">
        <v>13</v>
      </c>
      <c r="E18" s="2">
        <v>7194600</v>
      </c>
      <c r="F18" s="30" t="e">
        <f>+#REF!*#REF!*G18</f>
        <v>#REF!</v>
      </c>
      <c r="G18" s="5">
        <v>2.2839999999999998</v>
      </c>
      <c r="L18" s="49">
        <v>7914059.9999999991</v>
      </c>
    </row>
    <row r="19" spans="1:12" thickBot="1" x14ac:dyDescent="0.45">
      <c r="A19" s="26" t="s">
        <v>23</v>
      </c>
      <c r="B19" s="59">
        <v>1</v>
      </c>
      <c r="C19" s="89">
        <f t="shared" si="2"/>
        <v>7442800</v>
      </c>
      <c r="D19" s="60">
        <v>12</v>
      </c>
      <c r="E19" s="2">
        <v>6344100</v>
      </c>
      <c r="F19" s="30" t="e">
        <f>+#REF!*#REF!*G19</f>
        <v>#REF!</v>
      </c>
      <c r="G19" s="5">
        <v>2.0139999999999998</v>
      </c>
      <c r="L19" s="49">
        <v>7442820</v>
      </c>
    </row>
    <row r="20" spans="1:12" thickBot="1" x14ac:dyDescent="0.45">
      <c r="A20" s="26" t="s">
        <v>23</v>
      </c>
      <c r="B20" s="59">
        <v>1</v>
      </c>
      <c r="C20" s="89">
        <f t="shared" si="2"/>
        <v>7442800</v>
      </c>
      <c r="D20" s="60">
        <v>12</v>
      </c>
      <c r="E20" s="2">
        <v>6344100</v>
      </c>
      <c r="F20" s="30" t="e">
        <f>+#REF!*#REF!*G20</f>
        <v>#REF!</v>
      </c>
      <c r="G20" s="5">
        <v>2.0139999999999998</v>
      </c>
      <c r="L20" s="49">
        <v>7442820</v>
      </c>
    </row>
    <row r="21" spans="1:12" ht="22.8" x14ac:dyDescent="0.4">
      <c r="A21" s="27" t="s">
        <v>5</v>
      </c>
      <c r="B21" s="71">
        <f>SUM(B17:B20)</f>
        <v>4</v>
      </c>
      <c r="C21" s="90">
        <f>SUM(C17:C20)</f>
        <v>31188500</v>
      </c>
      <c r="D21" s="72"/>
      <c r="E21" s="25"/>
      <c r="F21" s="25"/>
      <c r="L21" s="50">
        <f>SUM(L17:L20)</f>
        <v>31188465</v>
      </c>
    </row>
    <row r="22" spans="1:12" ht="22.8" x14ac:dyDescent="0.4">
      <c r="A22" s="61" t="s">
        <v>278</v>
      </c>
      <c r="B22" s="71"/>
      <c r="C22" s="90"/>
      <c r="D22" s="72"/>
      <c r="E22" s="27"/>
      <c r="F22" s="27"/>
      <c r="L22" s="50"/>
    </row>
    <row r="23" spans="1:12" ht="22.8" x14ac:dyDescent="0.4">
      <c r="A23" s="26" t="s">
        <v>15</v>
      </c>
      <c r="B23" s="59">
        <v>1</v>
      </c>
      <c r="C23" s="89">
        <v>8388800</v>
      </c>
      <c r="D23" s="60">
        <v>14</v>
      </c>
      <c r="E23" s="27"/>
      <c r="F23" s="27"/>
      <c r="L23" s="50"/>
    </row>
    <row r="24" spans="1:12" ht="22.8" x14ac:dyDescent="0.4">
      <c r="A24" s="26" t="s">
        <v>52</v>
      </c>
      <c r="B24" s="59">
        <v>1</v>
      </c>
      <c r="C24" s="89">
        <v>6978500</v>
      </c>
      <c r="D24" s="60">
        <v>11</v>
      </c>
      <c r="E24" s="27"/>
      <c r="F24" s="27"/>
      <c r="L24" s="50"/>
    </row>
    <row r="25" spans="1:12" ht="22.8" x14ac:dyDescent="0.4">
      <c r="A25" s="27" t="s">
        <v>5</v>
      </c>
      <c r="B25" s="71">
        <f>SUM(B23:B24)</f>
        <v>2</v>
      </c>
      <c r="C25" s="90">
        <f>SUM(C23:C24)</f>
        <v>15367300</v>
      </c>
      <c r="D25" s="72"/>
      <c r="E25" s="27"/>
      <c r="F25" s="27"/>
      <c r="L25" s="50"/>
    </row>
    <row r="26" spans="1:12" ht="22.8" x14ac:dyDescent="0.4">
      <c r="A26" s="27" t="s">
        <v>279</v>
      </c>
      <c r="B26" s="71"/>
      <c r="C26" s="91"/>
      <c r="D26" s="72"/>
      <c r="E26" s="28"/>
      <c r="F26" s="28"/>
      <c r="L26" s="27"/>
    </row>
    <row r="27" spans="1:12" thickBot="1" x14ac:dyDescent="0.45">
      <c r="A27" s="26" t="s">
        <v>6</v>
      </c>
      <c r="B27" s="59">
        <v>1</v>
      </c>
      <c r="C27" s="89">
        <f t="shared" ref="C27:C29" si="3">ROUND(L27/100,0)*100</f>
        <v>8388800</v>
      </c>
      <c r="D27" s="60">
        <v>14</v>
      </c>
      <c r="E27" s="2">
        <v>7626200</v>
      </c>
      <c r="F27" s="30" t="e">
        <f>+#REF!*#REF!*G27</f>
        <v>#REF!</v>
      </c>
      <c r="G27" s="5">
        <v>2.4209999999999998</v>
      </c>
      <c r="L27" s="49">
        <v>8388765</v>
      </c>
    </row>
    <row r="28" spans="1:12" thickBot="1" x14ac:dyDescent="0.45">
      <c r="A28" s="26" t="s">
        <v>212</v>
      </c>
      <c r="B28" s="59">
        <v>1</v>
      </c>
      <c r="C28" s="89">
        <f t="shared" si="3"/>
        <v>6978500</v>
      </c>
      <c r="D28" s="60">
        <v>11</v>
      </c>
      <c r="E28" s="2">
        <v>6344100</v>
      </c>
      <c r="F28" s="30" t="e">
        <f>+#REF!*#REF!*G28</f>
        <v>#REF!</v>
      </c>
      <c r="G28" s="5">
        <v>2.0139999999999998</v>
      </c>
      <c r="L28" s="49">
        <v>6978509.9999999991</v>
      </c>
    </row>
    <row r="29" spans="1:12" thickBot="1" x14ac:dyDescent="0.45">
      <c r="A29" s="26" t="s">
        <v>213</v>
      </c>
      <c r="B29" s="59">
        <v>1</v>
      </c>
      <c r="C29" s="89">
        <f t="shared" si="3"/>
        <v>6978500</v>
      </c>
      <c r="D29" s="60">
        <v>11</v>
      </c>
      <c r="E29" s="2">
        <v>6344100</v>
      </c>
      <c r="F29" s="30" t="e">
        <f>+#REF!*#REF!*G29</f>
        <v>#REF!</v>
      </c>
      <c r="G29" s="5">
        <v>2.0139999999999998</v>
      </c>
      <c r="L29" s="49">
        <v>6978509.9999999991</v>
      </c>
    </row>
    <row r="30" spans="1:12" ht="22.8" x14ac:dyDescent="0.4">
      <c r="A30" s="27" t="s">
        <v>5</v>
      </c>
      <c r="B30" s="71">
        <f>SUM(B27:B29)</f>
        <v>3</v>
      </c>
      <c r="C30" s="90">
        <f>SUM(C27:C29)</f>
        <v>22345800</v>
      </c>
      <c r="D30" s="72"/>
      <c r="E30" s="27"/>
      <c r="F30" s="30" t="e">
        <f>+#REF!*#REF!*G30</f>
        <v>#REF!</v>
      </c>
      <c r="L30" s="50">
        <f>SUM(L27:L29)</f>
        <v>22345785</v>
      </c>
    </row>
    <row r="31" spans="1:12" ht="23.25" customHeight="1" x14ac:dyDescent="0.4">
      <c r="A31" s="27" t="s">
        <v>280</v>
      </c>
      <c r="B31" s="71"/>
      <c r="C31" s="90"/>
      <c r="D31" s="71"/>
      <c r="E31" s="28"/>
      <c r="F31" s="28"/>
      <c r="L31" s="50"/>
    </row>
    <row r="32" spans="1:12" ht="24" customHeight="1" thickBot="1" x14ac:dyDescent="0.45">
      <c r="A32" s="26" t="s">
        <v>120</v>
      </c>
      <c r="B32" s="59">
        <v>1</v>
      </c>
      <c r="C32" s="89">
        <f t="shared" ref="C32:C34" si="4">ROUND(L32/100,0)*100</f>
        <v>8388800</v>
      </c>
      <c r="D32" s="60">
        <v>14</v>
      </c>
      <c r="E32" s="2">
        <v>7626200</v>
      </c>
      <c r="F32" s="30" t="e">
        <f>+#REF!*#REF!*G32</f>
        <v>#REF!</v>
      </c>
      <c r="G32" s="5">
        <v>2.4209999999999998</v>
      </c>
      <c r="L32" s="55">
        <v>8388765</v>
      </c>
    </row>
    <row r="33" spans="1:12" thickBot="1" x14ac:dyDescent="0.45">
      <c r="A33" s="26" t="s">
        <v>13</v>
      </c>
      <c r="B33" s="59">
        <v>1</v>
      </c>
      <c r="C33" s="89">
        <f t="shared" si="4"/>
        <v>5214800</v>
      </c>
      <c r="D33" s="60">
        <v>7</v>
      </c>
      <c r="E33" s="2">
        <v>4740800</v>
      </c>
      <c r="F33" s="30" t="e">
        <f>+#REF!*#REF!*G33</f>
        <v>#REF!</v>
      </c>
      <c r="G33" s="5">
        <v>1.5049999999999999</v>
      </c>
      <c r="L33" s="49">
        <v>5214825</v>
      </c>
    </row>
    <row r="34" spans="1:12" ht="24" customHeight="1" thickBot="1" x14ac:dyDescent="0.45">
      <c r="A34" s="26" t="s">
        <v>239</v>
      </c>
      <c r="B34" s="60">
        <v>2</v>
      </c>
      <c r="C34" s="89">
        <f t="shared" si="4"/>
        <v>3465000</v>
      </c>
      <c r="D34" s="60">
        <v>1</v>
      </c>
      <c r="E34" s="2">
        <v>3150000</v>
      </c>
      <c r="F34" s="30" t="e">
        <f>+#REF!*#REF!*G34</f>
        <v>#REF!</v>
      </c>
      <c r="G34" s="5">
        <v>1</v>
      </c>
      <c r="L34" s="55">
        <v>3465000</v>
      </c>
    </row>
    <row r="35" spans="1:12" ht="22.8" x14ac:dyDescent="0.4">
      <c r="A35" s="27" t="s">
        <v>5</v>
      </c>
      <c r="B35" s="71">
        <f>SUM(B32:B34)</f>
        <v>4</v>
      </c>
      <c r="C35" s="90">
        <f>SUM(C32:C34)</f>
        <v>17068600</v>
      </c>
      <c r="D35" s="71"/>
      <c r="E35" s="26"/>
      <c r="F35" s="26"/>
      <c r="L35" s="50">
        <f>SUM(L32:L34)</f>
        <v>17068590</v>
      </c>
    </row>
    <row r="36" spans="1:12" ht="22.8" x14ac:dyDescent="0.4">
      <c r="A36" s="27" t="s">
        <v>281</v>
      </c>
      <c r="B36" s="71"/>
      <c r="C36" s="90"/>
      <c r="D36" s="71"/>
      <c r="E36" s="29"/>
      <c r="F36" s="29"/>
      <c r="L36" s="50"/>
    </row>
    <row r="37" spans="1:12" ht="24" customHeight="1" thickBot="1" x14ac:dyDescent="0.45">
      <c r="A37" s="26" t="s">
        <v>15</v>
      </c>
      <c r="B37" s="59">
        <v>1</v>
      </c>
      <c r="C37" s="89">
        <f t="shared" ref="C37" si="5">ROUND(L37/100,0)*100</f>
        <v>8388800</v>
      </c>
      <c r="D37" s="60">
        <v>14</v>
      </c>
      <c r="E37" s="2">
        <v>7626200</v>
      </c>
      <c r="F37" s="30" t="e">
        <f>+#REF!*#REF!*G37</f>
        <v>#REF!</v>
      </c>
      <c r="G37" s="5">
        <v>2.4209999999999998</v>
      </c>
      <c r="L37" s="55">
        <v>8388765</v>
      </c>
    </row>
    <row r="38" spans="1:12" ht="22.8" x14ac:dyDescent="0.4">
      <c r="A38" s="26" t="s">
        <v>197</v>
      </c>
      <c r="B38" s="59">
        <v>1</v>
      </c>
      <c r="C38" s="89">
        <v>6081100</v>
      </c>
      <c r="D38" s="60">
        <v>9</v>
      </c>
      <c r="E38" s="62"/>
      <c r="F38" s="26"/>
      <c r="L38" s="50"/>
    </row>
    <row r="39" spans="1:12" thickBot="1" x14ac:dyDescent="0.45">
      <c r="A39" s="27" t="s">
        <v>5</v>
      </c>
      <c r="B39" s="71">
        <f>SUM(B37:B38)</f>
        <v>2</v>
      </c>
      <c r="C39" s="90">
        <f>SUM(C37:C38)</f>
        <v>14469900</v>
      </c>
      <c r="D39" s="71"/>
      <c r="E39" s="2">
        <v>0</v>
      </c>
      <c r="F39" s="26"/>
      <c r="L39" s="50">
        <f>SUM(L37:L38)</f>
        <v>8388765</v>
      </c>
    </row>
    <row r="40" spans="1:12" ht="22.8" x14ac:dyDescent="0.4">
      <c r="A40" s="27" t="s">
        <v>216</v>
      </c>
      <c r="B40" s="71"/>
      <c r="C40" s="90"/>
      <c r="D40" s="71"/>
      <c r="E40" s="28"/>
      <c r="F40" s="30" t="e">
        <f>+#REF!*#REF!*G40</f>
        <v>#REF!</v>
      </c>
      <c r="L40" s="50"/>
    </row>
    <row r="41" spans="1:12" ht="24" customHeight="1" thickBot="1" x14ac:dyDescent="0.45">
      <c r="A41" s="26" t="s">
        <v>230</v>
      </c>
      <c r="B41" s="59">
        <v>1</v>
      </c>
      <c r="C41" s="89">
        <f t="shared" ref="C41" si="6">ROUND(L41/100,0)*100</f>
        <v>8388800</v>
      </c>
      <c r="D41" s="60">
        <v>14</v>
      </c>
      <c r="E41" s="2">
        <v>7626200</v>
      </c>
      <c r="F41" s="30" t="e">
        <f>+#REF!*#REF!*G41</f>
        <v>#REF!</v>
      </c>
      <c r="G41" s="5">
        <v>2.4209999999999998</v>
      </c>
      <c r="L41" s="55">
        <v>8388765</v>
      </c>
    </row>
    <row r="42" spans="1:12" ht="22.8" x14ac:dyDescent="0.4">
      <c r="A42" s="26" t="s">
        <v>131</v>
      </c>
      <c r="B42" s="59">
        <v>1</v>
      </c>
      <c r="C42" s="89">
        <v>6524600</v>
      </c>
      <c r="D42" s="60">
        <v>10</v>
      </c>
      <c r="E42" s="62"/>
      <c r="F42" s="26"/>
      <c r="L42" s="50"/>
    </row>
    <row r="43" spans="1:12" ht="22.8" x14ac:dyDescent="0.4">
      <c r="A43" s="26" t="s">
        <v>131</v>
      </c>
      <c r="B43" s="59">
        <v>1</v>
      </c>
      <c r="C43" s="89">
        <v>6524600</v>
      </c>
      <c r="D43" s="60">
        <v>10</v>
      </c>
      <c r="E43" s="62"/>
      <c r="F43" s="26"/>
      <c r="L43" s="50"/>
    </row>
    <row r="44" spans="1:12" thickBot="1" x14ac:dyDescent="0.45">
      <c r="A44" s="27" t="s">
        <v>5</v>
      </c>
      <c r="B44" s="71">
        <f>SUM(B41:B43)</f>
        <v>3</v>
      </c>
      <c r="C44" s="90">
        <f>SUM(C41:C43)</f>
        <v>21438000</v>
      </c>
      <c r="D44" s="71"/>
      <c r="E44" s="2">
        <v>0</v>
      </c>
      <c r="F44" s="30" t="e">
        <f>+#REF!*#REF!*G44</f>
        <v>#REF!</v>
      </c>
      <c r="L44" s="50">
        <f>SUM(L41:L43)</f>
        <v>8388765</v>
      </c>
    </row>
    <row r="45" spans="1:12" ht="22.8" x14ac:dyDescent="0.4">
      <c r="A45" s="27" t="s">
        <v>284</v>
      </c>
      <c r="B45" s="71"/>
      <c r="C45" s="90"/>
      <c r="D45" s="71"/>
      <c r="E45" s="62"/>
      <c r="F45" s="26"/>
      <c r="L45" s="50"/>
    </row>
    <row r="46" spans="1:12" ht="22.8" x14ac:dyDescent="0.4">
      <c r="A46" s="26" t="s">
        <v>15</v>
      </c>
      <c r="B46" s="59">
        <v>1</v>
      </c>
      <c r="C46" s="84">
        <v>8388800</v>
      </c>
      <c r="D46" s="83">
        <v>14</v>
      </c>
      <c r="E46" s="62"/>
      <c r="F46" s="26"/>
      <c r="L46" s="50"/>
    </row>
    <row r="47" spans="1:12" ht="22.8" x14ac:dyDescent="0.4">
      <c r="A47" s="26" t="s">
        <v>52</v>
      </c>
      <c r="B47" s="59">
        <v>1</v>
      </c>
      <c r="C47" s="89">
        <v>6978500</v>
      </c>
      <c r="D47" s="59">
        <v>11</v>
      </c>
      <c r="E47" s="62"/>
      <c r="F47" s="26"/>
      <c r="L47" s="50"/>
    </row>
    <row r="48" spans="1:12" ht="22.8" x14ac:dyDescent="0.4">
      <c r="A48" s="26" t="s">
        <v>131</v>
      </c>
      <c r="B48" s="59">
        <v>1</v>
      </c>
      <c r="C48" s="89">
        <v>6524600</v>
      </c>
      <c r="D48" s="60">
        <v>10</v>
      </c>
      <c r="E48" s="62"/>
      <c r="F48" s="26"/>
      <c r="L48" s="50"/>
    </row>
    <row r="49" spans="1:12" ht="22.8" x14ac:dyDescent="0.4">
      <c r="A49" s="26" t="s">
        <v>197</v>
      </c>
      <c r="B49" s="59">
        <v>1</v>
      </c>
      <c r="C49" s="89">
        <v>6081100</v>
      </c>
      <c r="D49" s="60">
        <v>9</v>
      </c>
      <c r="E49" s="62"/>
      <c r="F49" s="26"/>
      <c r="L49" s="50"/>
    </row>
    <row r="50" spans="1:12" ht="22.8" x14ac:dyDescent="0.4">
      <c r="A50" s="26" t="s">
        <v>134</v>
      </c>
      <c r="B50" s="59">
        <v>1</v>
      </c>
      <c r="C50" s="89">
        <v>5648000</v>
      </c>
      <c r="D50" s="60">
        <v>8</v>
      </c>
      <c r="E50" s="62"/>
      <c r="F50" s="26"/>
      <c r="L50" s="50"/>
    </row>
    <row r="51" spans="1:12" s="80" customFormat="1" ht="22.8" x14ac:dyDescent="0.4">
      <c r="A51" s="65" t="s">
        <v>282</v>
      </c>
      <c r="B51" s="63">
        <v>1</v>
      </c>
      <c r="C51" s="92">
        <v>7442800</v>
      </c>
      <c r="D51" s="63">
        <v>12</v>
      </c>
      <c r="E51" s="78"/>
      <c r="F51" s="79"/>
      <c r="L51" s="64"/>
    </row>
    <row r="52" spans="1:12" ht="22.8" x14ac:dyDescent="0.4">
      <c r="A52" s="27" t="s">
        <v>5</v>
      </c>
      <c r="B52" s="71">
        <f>SUM(B46:B51)</f>
        <v>6</v>
      </c>
      <c r="C52" s="90">
        <f>SUM(C46:C51)</f>
        <v>41063800</v>
      </c>
      <c r="D52" s="71"/>
      <c r="E52" s="62"/>
      <c r="F52" s="26"/>
      <c r="L52" s="50"/>
    </row>
    <row r="53" spans="1:12" ht="22.8" x14ac:dyDescent="0.4">
      <c r="A53" s="54" t="s">
        <v>283</v>
      </c>
      <c r="B53" s="71"/>
      <c r="C53" s="91"/>
      <c r="D53" s="72"/>
      <c r="E53" s="28"/>
      <c r="F53" s="28"/>
      <c r="L53" s="27"/>
    </row>
    <row r="54" spans="1:12" ht="22.8" x14ac:dyDescent="0.4">
      <c r="A54" s="101" t="s">
        <v>315</v>
      </c>
      <c r="B54" s="71">
        <v>1</v>
      </c>
      <c r="C54" s="90">
        <v>8430300</v>
      </c>
      <c r="D54" s="72">
        <v>15</v>
      </c>
      <c r="E54" s="28"/>
      <c r="F54" s="28"/>
      <c r="L54" s="27"/>
    </row>
    <row r="55" spans="1:12" ht="45.6" thickBot="1" x14ac:dyDescent="0.45">
      <c r="A55" s="81" t="s">
        <v>291</v>
      </c>
      <c r="B55" s="59"/>
      <c r="C55" s="89"/>
      <c r="D55" s="60"/>
      <c r="E55" s="2">
        <v>7626200</v>
      </c>
      <c r="F55" s="30" t="e">
        <f>+#REF!*#REF!*G55</f>
        <v>#REF!</v>
      </c>
      <c r="G55" s="5">
        <v>2.4209999999999998</v>
      </c>
      <c r="L55" s="49">
        <v>8388765</v>
      </c>
    </row>
    <row r="56" spans="1:12" thickBot="1" x14ac:dyDescent="0.45">
      <c r="A56" s="26" t="s">
        <v>285</v>
      </c>
      <c r="B56" s="59">
        <v>1</v>
      </c>
      <c r="C56" s="89">
        <f>8388800*1</f>
        <v>8388800</v>
      </c>
      <c r="D56" s="60">
        <v>14</v>
      </c>
      <c r="E56" s="2"/>
      <c r="F56" s="30"/>
      <c r="L56" s="49"/>
    </row>
    <row r="57" spans="1:12" thickBot="1" x14ac:dyDescent="0.45">
      <c r="A57" s="26" t="s">
        <v>286</v>
      </c>
      <c r="B57" s="59">
        <v>1</v>
      </c>
      <c r="C57" s="89">
        <f>7914100*1</f>
        <v>7914100</v>
      </c>
      <c r="D57" s="60">
        <v>13</v>
      </c>
      <c r="E57" s="2"/>
      <c r="F57" s="30"/>
      <c r="L57" s="49"/>
    </row>
    <row r="58" spans="1:12" thickBot="1" x14ac:dyDescent="0.45">
      <c r="A58" s="26" t="s">
        <v>316</v>
      </c>
      <c r="B58" s="59">
        <v>7</v>
      </c>
      <c r="C58" s="89">
        <f>7442800*7</f>
        <v>52099600</v>
      </c>
      <c r="D58" s="60">
        <v>12</v>
      </c>
      <c r="E58" s="2"/>
      <c r="F58" s="30"/>
      <c r="L58" s="49"/>
    </row>
    <row r="59" spans="1:12" thickBot="1" x14ac:dyDescent="0.45">
      <c r="A59" s="26" t="s">
        <v>317</v>
      </c>
      <c r="B59" s="59">
        <v>7</v>
      </c>
      <c r="C59" s="89">
        <f>6978500*7</f>
        <v>48849500</v>
      </c>
      <c r="D59" s="60">
        <v>11</v>
      </c>
      <c r="E59" s="2"/>
      <c r="F59" s="30"/>
      <c r="L59" s="49"/>
    </row>
    <row r="60" spans="1:12" thickBot="1" x14ac:dyDescent="0.45">
      <c r="A60" s="26" t="s">
        <v>318</v>
      </c>
      <c r="B60" s="59">
        <v>8</v>
      </c>
      <c r="C60" s="89">
        <f>6524600*8</f>
        <v>52196800</v>
      </c>
      <c r="D60" s="60">
        <v>10</v>
      </c>
      <c r="E60" s="2"/>
      <c r="F60" s="30"/>
      <c r="L60" s="49"/>
    </row>
    <row r="61" spans="1:12" thickBot="1" x14ac:dyDescent="0.45">
      <c r="A61" s="26" t="s">
        <v>319</v>
      </c>
      <c r="B61" s="59">
        <v>8</v>
      </c>
      <c r="C61" s="89">
        <f>6081100*8</f>
        <v>48648800</v>
      </c>
      <c r="D61" s="60">
        <v>9</v>
      </c>
      <c r="E61" s="2"/>
      <c r="F61" s="30"/>
      <c r="L61" s="49"/>
    </row>
    <row r="62" spans="1:12" thickBot="1" x14ac:dyDescent="0.45">
      <c r="A62" s="26" t="s">
        <v>320</v>
      </c>
      <c r="B62" s="59">
        <v>8</v>
      </c>
      <c r="C62" s="89">
        <f>5648000*8</f>
        <v>45184000</v>
      </c>
      <c r="D62" s="60">
        <v>8</v>
      </c>
      <c r="E62" s="2"/>
      <c r="F62" s="30"/>
      <c r="L62" s="49"/>
    </row>
    <row r="63" spans="1:12" thickBot="1" x14ac:dyDescent="0.45">
      <c r="A63" s="27" t="s">
        <v>5</v>
      </c>
      <c r="B63" s="71">
        <f>SUM(B56:B62)</f>
        <v>40</v>
      </c>
      <c r="C63" s="90">
        <f>SUM(C56:C62)</f>
        <v>263281600</v>
      </c>
      <c r="D63" s="60"/>
      <c r="E63" s="2"/>
      <c r="F63" s="30"/>
      <c r="L63" s="49"/>
    </row>
    <row r="64" spans="1:12" ht="45.6" thickBot="1" x14ac:dyDescent="0.45">
      <c r="A64" s="81" t="s">
        <v>292</v>
      </c>
      <c r="B64" s="59"/>
      <c r="C64" s="89"/>
      <c r="D64" s="60"/>
      <c r="E64" s="2">
        <v>6766200</v>
      </c>
      <c r="F64" s="30" t="e">
        <f>+#REF!*#REF!*G64</f>
        <v>#REF!</v>
      </c>
      <c r="G64" s="5">
        <v>2.1480000000000001</v>
      </c>
      <c r="L64" s="49">
        <v>7442820</v>
      </c>
    </row>
    <row r="65" spans="1:12" thickBot="1" x14ac:dyDescent="0.45">
      <c r="A65" s="26" t="s">
        <v>287</v>
      </c>
      <c r="B65" s="59">
        <v>1</v>
      </c>
      <c r="C65" s="89">
        <f>8388800*1</f>
        <v>8388800</v>
      </c>
      <c r="D65" s="60">
        <v>14</v>
      </c>
      <c r="E65" s="2">
        <v>6766200</v>
      </c>
      <c r="F65" s="30" t="e">
        <f>+#REF!*#REF!*G65</f>
        <v>#REF!</v>
      </c>
      <c r="G65" s="5">
        <v>2.1480000000000001</v>
      </c>
      <c r="L65" s="49">
        <v>7442820</v>
      </c>
    </row>
    <row r="66" spans="1:12" thickBot="1" x14ac:dyDescent="0.45">
      <c r="A66" s="26" t="s">
        <v>288</v>
      </c>
      <c r="B66" s="59">
        <v>1</v>
      </c>
      <c r="C66" s="89">
        <f>7914100*1</f>
        <v>7914100</v>
      </c>
      <c r="D66" s="60">
        <v>13</v>
      </c>
      <c r="E66" s="2">
        <v>6344100</v>
      </c>
      <c r="F66" s="30" t="e">
        <f>+#REF!*#REF!*G66</f>
        <v>#REF!</v>
      </c>
      <c r="G66" s="5">
        <v>2.0139999999999998</v>
      </c>
      <c r="L66" s="49">
        <v>6978509.9999999991</v>
      </c>
    </row>
    <row r="67" spans="1:12" thickBot="1" x14ac:dyDescent="0.45">
      <c r="A67" s="26" t="s">
        <v>316</v>
      </c>
      <c r="B67" s="59">
        <v>1</v>
      </c>
      <c r="C67" s="89">
        <f>7442800*1</f>
        <v>7442800</v>
      </c>
      <c r="D67" s="60">
        <v>12</v>
      </c>
      <c r="E67" s="2">
        <v>6344100</v>
      </c>
      <c r="F67" s="30" t="e">
        <f>+#REF!*#REF!*G67</f>
        <v>#REF!</v>
      </c>
      <c r="G67" s="5">
        <v>2.0139999999999998</v>
      </c>
      <c r="I67" s="30" t="e">
        <f>+#REF!*1.07</f>
        <v>#REF!</v>
      </c>
      <c r="L67" s="49">
        <v>6978509.9999999991</v>
      </c>
    </row>
    <row r="68" spans="1:12" thickBot="1" x14ac:dyDescent="0.45">
      <c r="A68" s="26" t="s">
        <v>317</v>
      </c>
      <c r="B68" s="59">
        <v>1</v>
      </c>
      <c r="C68" s="89">
        <f>6978500*1</f>
        <v>6978500</v>
      </c>
      <c r="D68" s="60">
        <v>11</v>
      </c>
      <c r="E68" s="2">
        <v>5931500</v>
      </c>
      <c r="F68" s="30" t="e">
        <f>+#REF!*#REF!*G68</f>
        <v>#REF!</v>
      </c>
      <c r="G68" s="5">
        <v>1.883</v>
      </c>
      <c r="L68" s="49">
        <v>6524595</v>
      </c>
    </row>
    <row r="69" spans="1:12" ht="22.8" x14ac:dyDescent="0.4">
      <c r="A69" s="26" t="s">
        <v>318</v>
      </c>
      <c r="B69" s="59">
        <v>1</v>
      </c>
      <c r="C69" s="89">
        <f>6524600*1</f>
        <v>6524600</v>
      </c>
      <c r="D69" s="60">
        <v>10</v>
      </c>
      <c r="E69" s="62"/>
      <c r="F69" s="30"/>
      <c r="L69" s="49"/>
    </row>
    <row r="70" spans="1:12" ht="22.8" x14ac:dyDescent="0.4">
      <c r="A70" s="26" t="s">
        <v>319</v>
      </c>
      <c r="B70" s="59">
        <v>1</v>
      </c>
      <c r="C70" s="89">
        <f>6081100*1</f>
        <v>6081100</v>
      </c>
      <c r="D70" s="60">
        <v>9</v>
      </c>
      <c r="E70" s="62"/>
      <c r="F70" s="30"/>
      <c r="L70" s="49"/>
    </row>
    <row r="71" spans="1:12" ht="22.8" x14ac:dyDescent="0.4">
      <c r="A71" s="26" t="s">
        <v>320</v>
      </c>
      <c r="B71" s="59">
        <v>1</v>
      </c>
      <c r="C71" s="89">
        <f>5648000*1</f>
        <v>5648000</v>
      </c>
      <c r="D71" s="60">
        <v>8</v>
      </c>
      <c r="E71" s="62"/>
      <c r="F71" s="30"/>
      <c r="L71" s="49"/>
    </row>
    <row r="72" spans="1:12" ht="22.8" x14ac:dyDescent="0.4">
      <c r="A72" s="27" t="s">
        <v>5</v>
      </c>
      <c r="B72" s="71">
        <f>SUM(B65:B71)</f>
        <v>7</v>
      </c>
      <c r="C72" s="90">
        <f>SUM(C65:C71)</f>
        <v>48977900</v>
      </c>
      <c r="D72" s="60"/>
      <c r="E72" s="62"/>
      <c r="F72" s="30"/>
      <c r="L72" s="49"/>
    </row>
    <row r="73" spans="1:12" ht="45.6" x14ac:dyDescent="0.4">
      <c r="A73" s="51" t="s">
        <v>293</v>
      </c>
      <c r="B73" s="59"/>
      <c r="C73" s="89"/>
      <c r="D73" s="60"/>
      <c r="E73" s="62"/>
      <c r="F73" s="30"/>
      <c r="L73" s="49"/>
    </row>
    <row r="74" spans="1:12" ht="22.8" x14ac:dyDescent="0.4">
      <c r="A74" s="26" t="s">
        <v>321</v>
      </c>
      <c r="B74" s="59">
        <v>1</v>
      </c>
      <c r="C74" s="89">
        <f>7442800*1</f>
        <v>7442800</v>
      </c>
      <c r="D74" s="60">
        <v>12</v>
      </c>
      <c r="E74" s="62"/>
      <c r="F74" s="30"/>
      <c r="L74" s="49"/>
    </row>
    <row r="75" spans="1:12" ht="22.8" x14ac:dyDescent="0.4">
      <c r="A75" s="26" t="s">
        <v>322</v>
      </c>
      <c r="B75" s="59">
        <v>1</v>
      </c>
      <c r="C75" s="89">
        <f>6978500*1</f>
        <v>6978500</v>
      </c>
      <c r="D75" s="60">
        <v>11</v>
      </c>
      <c r="E75" s="62"/>
      <c r="F75" s="30"/>
      <c r="L75" s="49"/>
    </row>
    <row r="76" spans="1:12" ht="22.8" x14ac:dyDescent="0.4">
      <c r="A76" s="26" t="s">
        <v>323</v>
      </c>
      <c r="B76" s="59">
        <v>1</v>
      </c>
      <c r="C76" s="89">
        <f>6524600*1</f>
        <v>6524600</v>
      </c>
      <c r="D76" s="60">
        <v>10</v>
      </c>
      <c r="E76" s="62"/>
      <c r="F76" s="30"/>
      <c r="L76" s="49"/>
    </row>
    <row r="77" spans="1:12" ht="22.8" x14ac:dyDescent="0.4">
      <c r="A77" s="27" t="s">
        <v>5</v>
      </c>
      <c r="B77" s="71">
        <f>SUM(B74:B76)</f>
        <v>3</v>
      </c>
      <c r="C77" s="90">
        <f>SUM(C74:C76)</f>
        <v>20945900</v>
      </c>
      <c r="D77" s="60"/>
      <c r="E77" s="62"/>
      <c r="F77" s="30"/>
      <c r="L77" s="49"/>
    </row>
    <row r="78" spans="1:12" ht="22.8" x14ac:dyDescent="0.4">
      <c r="A78" s="61" t="s">
        <v>289</v>
      </c>
      <c r="B78" s="59"/>
      <c r="C78" s="89"/>
      <c r="D78" s="60"/>
      <c r="E78" s="62"/>
      <c r="F78" s="30"/>
      <c r="L78" s="49"/>
    </row>
    <row r="79" spans="1:12" ht="22.8" x14ac:dyDescent="0.4">
      <c r="A79" s="26" t="s">
        <v>270</v>
      </c>
      <c r="B79" s="59"/>
      <c r="C79" s="89"/>
      <c r="D79" s="60"/>
      <c r="E79" s="62"/>
      <c r="F79" s="30"/>
      <c r="L79" s="49"/>
    </row>
    <row r="80" spans="1:12" ht="22.8" x14ac:dyDescent="0.4">
      <c r="A80" s="26" t="s">
        <v>316</v>
      </c>
      <c r="B80" s="59">
        <v>1</v>
      </c>
      <c r="C80" s="89">
        <f>7442800*1</f>
        <v>7442800</v>
      </c>
      <c r="D80" s="60">
        <v>12</v>
      </c>
      <c r="E80" s="62"/>
      <c r="F80" s="30"/>
      <c r="L80" s="49"/>
    </row>
    <row r="81" spans="1:12" ht="22.8" x14ac:dyDescent="0.4">
      <c r="A81" s="26" t="s">
        <v>317</v>
      </c>
      <c r="B81" s="59">
        <v>1</v>
      </c>
      <c r="C81" s="89">
        <f>6978500*1</f>
        <v>6978500</v>
      </c>
      <c r="D81" s="60">
        <v>11</v>
      </c>
      <c r="E81" s="62"/>
      <c r="F81" s="30"/>
      <c r="L81" s="49"/>
    </row>
    <row r="82" spans="1:12" ht="22.8" x14ac:dyDescent="0.4">
      <c r="A82" s="26" t="s">
        <v>318</v>
      </c>
      <c r="B82" s="59">
        <v>1</v>
      </c>
      <c r="C82" s="89">
        <f>6524600*1</f>
        <v>6524600</v>
      </c>
      <c r="D82" s="60">
        <v>10</v>
      </c>
      <c r="E82" s="62"/>
      <c r="F82" s="30"/>
      <c r="L82" s="49"/>
    </row>
    <row r="83" spans="1:12" ht="22.8" x14ac:dyDescent="0.4">
      <c r="A83" s="26" t="s">
        <v>319</v>
      </c>
      <c r="B83" s="59">
        <v>1</v>
      </c>
      <c r="C83" s="89">
        <f>6081100*1</f>
        <v>6081100</v>
      </c>
      <c r="D83" s="60">
        <v>9</v>
      </c>
      <c r="E83" s="62"/>
      <c r="F83" s="30"/>
      <c r="L83" s="49"/>
    </row>
    <row r="84" spans="1:12" s="99" customFormat="1" ht="22.8" x14ac:dyDescent="0.4">
      <c r="A84" s="51" t="s">
        <v>5</v>
      </c>
      <c r="B84" s="71">
        <f>SUM(B80:B83)</f>
        <v>4</v>
      </c>
      <c r="C84" s="90">
        <f>SUM(C80:C83)</f>
        <v>27027000</v>
      </c>
      <c r="D84" s="72"/>
      <c r="E84" s="97"/>
      <c r="F84" s="98"/>
      <c r="L84" s="50"/>
    </row>
    <row r="85" spans="1:12" ht="22.8" x14ac:dyDescent="0.4">
      <c r="A85" s="51" t="s">
        <v>290</v>
      </c>
      <c r="B85" s="59"/>
      <c r="C85" s="89"/>
      <c r="D85" s="60"/>
      <c r="E85" s="62"/>
      <c r="F85" s="30"/>
      <c r="L85" s="49"/>
    </row>
    <row r="86" spans="1:12" ht="44.4" x14ac:dyDescent="0.4">
      <c r="A86" s="81" t="s">
        <v>296</v>
      </c>
      <c r="B86" s="59"/>
      <c r="C86" s="89"/>
      <c r="D86" s="60"/>
      <c r="E86" s="62"/>
      <c r="F86" s="30"/>
      <c r="L86" s="49"/>
    </row>
    <row r="87" spans="1:12" ht="22.8" x14ac:dyDescent="0.4">
      <c r="A87" s="26" t="s">
        <v>15</v>
      </c>
      <c r="B87" s="59">
        <v>1</v>
      </c>
      <c r="C87" s="84">
        <v>8388800</v>
      </c>
      <c r="D87" s="83">
        <v>14</v>
      </c>
      <c r="E87" s="62"/>
      <c r="F87" s="30"/>
      <c r="L87" s="49"/>
    </row>
    <row r="88" spans="1:12" ht="22.8" x14ac:dyDescent="0.4">
      <c r="A88" s="26" t="s">
        <v>23</v>
      </c>
      <c r="B88" s="59">
        <v>1</v>
      </c>
      <c r="C88" s="92">
        <v>7442800</v>
      </c>
      <c r="D88" s="59">
        <v>12</v>
      </c>
      <c r="E88" s="62"/>
      <c r="F88" s="30"/>
      <c r="L88" s="49"/>
    </row>
    <row r="89" spans="1:12" ht="22.8" x14ac:dyDescent="0.4">
      <c r="A89" s="26" t="s">
        <v>52</v>
      </c>
      <c r="B89" s="59">
        <v>1</v>
      </c>
      <c r="C89" s="92">
        <v>6978500</v>
      </c>
      <c r="D89" s="59">
        <v>11</v>
      </c>
      <c r="E89" s="62"/>
      <c r="F89" s="30"/>
      <c r="L89" s="49"/>
    </row>
    <row r="90" spans="1:12" ht="22.8" x14ac:dyDescent="0.4">
      <c r="A90" s="26" t="s">
        <v>131</v>
      </c>
      <c r="B90" s="59">
        <v>1</v>
      </c>
      <c r="C90" s="89">
        <v>6524600</v>
      </c>
      <c r="D90" s="60">
        <v>10</v>
      </c>
      <c r="E90" s="62"/>
      <c r="F90" s="30"/>
      <c r="L90" s="49"/>
    </row>
    <row r="91" spans="1:12" ht="22.8" x14ac:dyDescent="0.4">
      <c r="A91" s="26" t="s">
        <v>197</v>
      </c>
      <c r="B91" s="59">
        <v>1</v>
      </c>
      <c r="C91" s="89">
        <v>6081100</v>
      </c>
      <c r="D91" s="60">
        <v>9</v>
      </c>
      <c r="E91" s="62"/>
      <c r="F91" s="30"/>
      <c r="L91" s="49"/>
    </row>
    <row r="92" spans="1:12" s="99" customFormat="1" ht="22.8" x14ac:dyDescent="0.4">
      <c r="A92" s="51" t="s">
        <v>5</v>
      </c>
      <c r="B92" s="71">
        <f>SUM(B87:B91)</f>
        <v>5</v>
      </c>
      <c r="C92" s="90">
        <f>SUM(C87:C91)</f>
        <v>35415800</v>
      </c>
      <c r="D92" s="72"/>
      <c r="E92" s="97"/>
      <c r="F92" s="98"/>
      <c r="L92" s="50"/>
    </row>
    <row r="93" spans="1:12" ht="66.599999999999994" x14ac:dyDescent="0.4">
      <c r="A93" s="81" t="s">
        <v>295</v>
      </c>
      <c r="B93" s="59"/>
      <c r="C93" s="89"/>
      <c r="D93" s="60"/>
      <c r="E93" s="62"/>
      <c r="F93" s="30"/>
      <c r="L93" s="49"/>
    </row>
    <row r="94" spans="1:12" ht="22.8" x14ac:dyDescent="0.4">
      <c r="A94" s="26" t="s">
        <v>15</v>
      </c>
      <c r="B94" s="59">
        <v>1</v>
      </c>
      <c r="C94" s="84">
        <v>8388800</v>
      </c>
      <c r="D94" s="83">
        <v>14</v>
      </c>
      <c r="E94" s="62"/>
      <c r="F94" s="30"/>
      <c r="L94" s="49"/>
    </row>
    <row r="95" spans="1:12" ht="22.8" x14ac:dyDescent="0.4">
      <c r="A95" s="26" t="s">
        <v>52</v>
      </c>
      <c r="B95" s="59">
        <v>1</v>
      </c>
      <c r="C95" s="92">
        <v>6978500</v>
      </c>
      <c r="D95" s="59">
        <v>11</v>
      </c>
      <c r="E95" s="62"/>
      <c r="F95" s="30"/>
      <c r="L95" s="49"/>
    </row>
    <row r="96" spans="1:12" ht="22.8" x14ac:dyDescent="0.4">
      <c r="A96" s="26" t="s">
        <v>131</v>
      </c>
      <c r="B96" s="59">
        <v>1</v>
      </c>
      <c r="C96" s="89">
        <v>6524600</v>
      </c>
      <c r="D96" s="60">
        <v>10</v>
      </c>
      <c r="E96" s="62"/>
      <c r="F96" s="30"/>
      <c r="L96" s="49"/>
    </row>
    <row r="97" spans="1:12" ht="22.8" x14ac:dyDescent="0.4">
      <c r="A97" s="26" t="s">
        <v>197</v>
      </c>
      <c r="B97" s="59">
        <v>1</v>
      </c>
      <c r="C97" s="89">
        <v>6081100</v>
      </c>
      <c r="D97" s="60">
        <v>9</v>
      </c>
      <c r="E97" s="62"/>
      <c r="F97" s="30"/>
      <c r="L97" s="49"/>
    </row>
    <row r="98" spans="1:12" s="99" customFormat="1" ht="22.8" x14ac:dyDescent="0.4">
      <c r="A98" s="51" t="s">
        <v>5</v>
      </c>
      <c r="B98" s="71">
        <f>SUM(B94:B97)</f>
        <v>4</v>
      </c>
      <c r="C98" s="90">
        <f>SUM(C94:C97)</f>
        <v>27973000</v>
      </c>
      <c r="D98" s="72"/>
      <c r="E98" s="97"/>
      <c r="F98" s="98"/>
      <c r="L98" s="50"/>
    </row>
    <row r="99" spans="1:12" ht="44.4" x14ac:dyDescent="0.4">
      <c r="A99" s="81" t="s">
        <v>294</v>
      </c>
      <c r="B99" s="59"/>
      <c r="C99" s="89"/>
      <c r="D99" s="60"/>
      <c r="E99" s="62"/>
      <c r="F99" s="30"/>
      <c r="L99" s="49"/>
    </row>
    <row r="100" spans="1:12" ht="22.8" x14ac:dyDescent="0.4">
      <c r="A100" s="26" t="s">
        <v>15</v>
      </c>
      <c r="B100" s="59">
        <v>1</v>
      </c>
      <c r="C100" s="84">
        <v>8388800</v>
      </c>
      <c r="D100" s="83">
        <v>14</v>
      </c>
      <c r="E100" s="62"/>
      <c r="F100" s="30"/>
      <c r="L100" s="49"/>
    </row>
    <row r="101" spans="1:12" ht="22.8" x14ac:dyDescent="0.4">
      <c r="A101" s="26" t="s">
        <v>52</v>
      </c>
      <c r="B101" s="59">
        <v>1</v>
      </c>
      <c r="C101" s="92">
        <v>6978500</v>
      </c>
      <c r="D101" s="59">
        <v>11</v>
      </c>
      <c r="E101" s="62"/>
      <c r="F101" s="30"/>
      <c r="L101" s="49"/>
    </row>
    <row r="102" spans="1:12" ht="22.8" x14ac:dyDescent="0.4">
      <c r="A102" s="26" t="s">
        <v>131</v>
      </c>
      <c r="B102" s="59">
        <v>1</v>
      </c>
      <c r="C102" s="89">
        <v>6524600</v>
      </c>
      <c r="D102" s="60">
        <v>10</v>
      </c>
      <c r="E102" s="62"/>
      <c r="F102" s="30"/>
      <c r="L102" s="49"/>
    </row>
    <row r="103" spans="1:12" s="99" customFormat="1" ht="22.8" x14ac:dyDescent="0.4">
      <c r="A103" s="51" t="s">
        <v>5</v>
      </c>
      <c r="B103" s="71">
        <f>SUM(B100:B102)</f>
        <v>3</v>
      </c>
      <c r="C103" s="90">
        <f>SUM(C100:C102)</f>
        <v>21891900</v>
      </c>
      <c r="D103" s="72"/>
      <c r="E103" s="97"/>
      <c r="F103" s="98"/>
      <c r="L103" s="50"/>
    </row>
    <row r="104" spans="1:12" ht="45.6" x14ac:dyDescent="0.4">
      <c r="A104" s="51" t="s">
        <v>297</v>
      </c>
      <c r="B104" s="59"/>
      <c r="C104" s="89"/>
      <c r="D104" s="60"/>
      <c r="E104" s="62"/>
      <c r="F104" s="30"/>
      <c r="L104" s="49"/>
    </row>
    <row r="105" spans="1:12" ht="48" customHeight="1" x14ac:dyDescent="0.4">
      <c r="A105" s="262" t="s">
        <v>298</v>
      </c>
      <c r="B105" s="262"/>
      <c r="C105" s="262"/>
      <c r="D105" s="60"/>
      <c r="E105" s="62"/>
      <c r="F105" s="30"/>
      <c r="L105" s="49"/>
    </row>
    <row r="106" spans="1:12" ht="22.8" x14ac:dyDescent="0.4">
      <c r="A106" s="26" t="s">
        <v>324</v>
      </c>
      <c r="B106" s="59">
        <v>1</v>
      </c>
      <c r="C106" s="84">
        <v>8388800</v>
      </c>
      <c r="D106" s="83">
        <v>14</v>
      </c>
      <c r="E106" s="62"/>
      <c r="F106" s="30"/>
      <c r="L106" s="49"/>
    </row>
    <row r="107" spans="1:12" ht="22.8" x14ac:dyDescent="0.4">
      <c r="A107" s="26" t="s">
        <v>326</v>
      </c>
      <c r="B107" s="59">
        <v>1</v>
      </c>
      <c r="C107" s="89">
        <f>7914100*1</f>
        <v>7914100</v>
      </c>
      <c r="D107" s="60">
        <v>13</v>
      </c>
      <c r="E107" s="62"/>
      <c r="F107" s="30"/>
      <c r="L107" s="49"/>
    </row>
    <row r="108" spans="1:12" ht="22.8" x14ac:dyDescent="0.4">
      <c r="A108" s="26" t="s">
        <v>316</v>
      </c>
      <c r="B108" s="59">
        <v>2</v>
      </c>
      <c r="C108" s="84">
        <v>7442800</v>
      </c>
      <c r="D108" s="59">
        <v>12</v>
      </c>
      <c r="E108" s="62"/>
      <c r="F108" s="30"/>
      <c r="L108" s="49"/>
    </row>
    <row r="109" spans="1:12" ht="22.8" x14ac:dyDescent="0.4">
      <c r="A109" s="26" t="s">
        <v>317</v>
      </c>
      <c r="B109" s="59">
        <v>3</v>
      </c>
      <c r="C109" s="84">
        <v>6978500</v>
      </c>
      <c r="D109" s="59">
        <v>11</v>
      </c>
      <c r="E109" s="62"/>
      <c r="F109" s="30"/>
      <c r="L109" s="49"/>
    </row>
    <row r="110" spans="1:12" ht="22.8" x14ac:dyDescent="0.4">
      <c r="A110" s="26" t="s">
        <v>318</v>
      </c>
      <c r="B110" s="59">
        <v>3</v>
      </c>
      <c r="C110" s="84">
        <v>6524600</v>
      </c>
      <c r="D110" s="60">
        <v>10</v>
      </c>
      <c r="E110" s="62"/>
      <c r="F110" s="30"/>
      <c r="L110" s="49"/>
    </row>
    <row r="111" spans="1:12" ht="22.8" x14ac:dyDescent="0.4">
      <c r="A111" s="26" t="s">
        <v>319</v>
      </c>
      <c r="B111" s="59">
        <v>3</v>
      </c>
      <c r="C111" s="89">
        <v>6081100</v>
      </c>
      <c r="D111" s="60">
        <v>9</v>
      </c>
      <c r="E111" s="62"/>
      <c r="F111" s="30"/>
      <c r="L111" s="49"/>
    </row>
    <row r="112" spans="1:12" ht="22.8" x14ac:dyDescent="0.4">
      <c r="A112" s="26" t="s">
        <v>320</v>
      </c>
      <c r="B112" s="59">
        <v>3</v>
      </c>
      <c r="C112" s="89">
        <f>5648000*1</f>
        <v>5648000</v>
      </c>
      <c r="D112" s="60">
        <v>8</v>
      </c>
      <c r="E112" s="62"/>
      <c r="F112" s="30"/>
      <c r="L112" s="49"/>
    </row>
    <row r="113" spans="1:12" s="99" customFormat="1" ht="22.8" x14ac:dyDescent="0.4">
      <c r="A113" s="51" t="s">
        <v>5</v>
      </c>
      <c r="B113" s="71">
        <f>SUM(B106:B112)</f>
        <v>16</v>
      </c>
      <c r="C113" s="90">
        <f>SUM(C106:C112)</f>
        <v>48977900</v>
      </c>
      <c r="D113" s="72"/>
      <c r="E113" s="97"/>
      <c r="F113" s="98"/>
      <c r="L113" s="50"/>
    </row>
    <row r="114" spans="1:12" ht="53.25" customHeight="1" x14ac:dyDescent="0.4">
      <c r="A114" s="262" t="s">
        <v>325</v>
      </c>
      <c r="B114" s="262"/>
      <c r="C114" s="262"/>
      <c r="D114" s="60"/>
      <c r="E114" s="62"/>
      <c r="F114" s="30"/>
      <c r="L114" s="49"/>
    </row>
    <row r="115" spans="1:12" ht="22.8" x14ac:dyDescent="0.4">
      <c r="A115" s="26" t="s">
        <v>52</v>
      </c>
      <c r="B115" s="59">
        <v>5</v>
      </c>
      <c r="C115" s="84">
        <v>6978500</v>
      </c>
      <c r="D115" s="59">
        <v>11</v>
      </c>
      <c r="E115" s="62"/>
      <c r="F115" s="30"/>
      <c r="L115" s="49"/>
    </row>
    <row r="116" spans="1:12" ht="22.8" x14ac:dyDescent="0.4">
      <c r="A116" s="26" t="s">
        <v>131</v>
      </c>
      <c r="B116" s="59">
        <v>4</v>
      </c>
      <c r="C116" s="84">
        <v>6524600</v>
      </c>
      <c r="D116" s="60">
        <v>10</v>
      </c>
      <c r="E116" s="62"/>
      <c r="F116" s="30"/>
      <c r="L116" s="49"/>
    </row>
    <row r="117" spans="1:12" ht="22.8" x14ac:dyDescent="0.4">
      <c r="A117" s="26" t="s">
        <v>197</v>
      </c>
      <c r="B117" s="59">
        <v>3</v>
      </c>
      <c r="C117" s="89">
        <v>6081100</v>
      </c>
      <c r="D117" s="60">
        <v>9</v>
      </c>
      <c r="E117" s="62"/>
      <c r="F117" s="30"/>
      <c r="L117" s="49"/>
    </row>
    <row r="118" spans="1:12" ht="22.8" x14ac:dyDescent="0.4">
      <c r="A118" s="26" t="s">
        <v>134</v>
      </c>
      <c r="B118" s="59">
        <v>3</v>
      </c>
      <c r="C118" s="89">
        <f>5648000*1</f>
        <v>5648000</v>
      </c>
      <c r="D118" s="60">
        <v>8</v>
      </c>
      <c r="E118" s="62"/>
      <c r="F118" s="30"/>
      <c r="L118" s="49"/>
    </row>
    <row r="119" spans="1:12" s="99" customFormat="1" ht="22.8" x14ac:dyDescent="0.4">
      <c r="A119" s="51" t="s">
        <v>5</v>
      </c>
      <c r="B119" s="71">
        <f>SUM(B115:B118)</f>
        <v>15</v>
      </c>
      <c r="C119" s="90">
        <f>SUM(C115:C118)</f>
        <v>25232200</v>
      </c>
      <c r="D119" s="72"/>
      <c r="E119" s="97"/>
      <c r="F119" s="98"/>
      <c r="L119" s="50"/>
    </row>
    <row r="120" spans="1:12" ht="50.25" customHeight="1" x14ac:dyDescent="0.4">
      <c r="A120" s="51" t="s">
        <v>299</v>
      </c>
      <c r="B120" s="59"/>
      <c r="C120" s="89"/>
      <c r="D120" s="60"/>
      <c r="E120" s="62"/>
      <c r="F120" s="30"/>
      <c r="L120" s="49"/>
    </row>
    <row r="121" spans="1:12" ht="22.8" x14ac:dyDescent="0.4">
      <c r="A121" s="26" t="s">
        <v>301</v>
      </c>
      <c r="B121" s="59">
        <v>1</v>
      </c>
      <c r="C121" s="84">
        <v>8388800</v>
      </c>
      <c r="D121" s="83">
        <v>14</v>
      </c>
      <c r="E121" s="62"/>
      <c r="F121" s="30"/>
      <c r="L121" s="49"/>
    </row>
    <row r="122" spans="1:12" ht="22.8" x14ac:dyDescent="0.4">
      <c r="A122" s="26" t="s">
        <v>52</v>
      </c>
      <c r="B122" s="59">
        <v>3</v>
      </c>
      <c r="C122" s="84">
        <v>6978500</v>
      </c>
      <c r="D122" s="59">
        <v>11</v>
      </c>
      <c r="E122" s="62"/>
      <c r="F122" s="30"/>
      <c r="L122" s="49"/>
    </row>
    <row r="123" spans="1:12" ht="22.8" x14ac:dyDescent="0.4">
      <c r="A123" s="26" t="s">
        <v>131</v>
      </c>
      <c r="B123" s="59">
        <v>2</v>
      </c>
      <c r="C123" s="84">
        <v>6524600</v>
      </c>
      <c r="D123" s="60">
        <v>10</v>
      </c>
      <c r="E123" s="62"/>
      <c r="F123" s="30"/>
      <c r="L123" s="49"/>
    </row>
    <row r="124" spans="1:12" ht="22.8" x14ac:dyDescent="0.4">
      <c r="A124" s="26" t="s">
        <v>197</v>
      </c>
      <c r="B124" s="59">
        <v>2</v>
      </c>
      <c r="C124" s="89">
        <v>6081100</v>
      </c>
      <c r="D124" s="60">
        <v>9</v>
      </c>
      <c r="E124" s="62"/>
      <c r="F124" s="30"/>
      <c r="L124" s="49"/>
    </row>
    <row r="125" spans="1:12" ht="22.8" x14ac:dyDescent="0.4">
      <c r="A125" s="26" t="s">
        <v>134</v>
      </c>
      <c r="B125" s="59">
        <v>2</v>
      </c>
      <c r="C125" s="89">
        <f>5648000*1</f>
        <v>5648000</v>
      </c>
      <c r="D125" s="60">
        <v>8</v>
      </c>
      <c r="E125" s="62"/>
      <c r="F125" s="30"/>
      <c r="L125" s="49"/>
    </row>
    <row r="126" spans="1:12" s="99" customFormat="1" ht="22.8" x14ac:dyDescent="0.4">
      <c r="A126" s="51" t="s">
        <v>5</v>
      </c>
      <c r="B126" s="71">
        <f>SUM(B121:B125)</f>
        <v>10</v>
      </c>
      <c r="C126" s="90">
        <f>SUM(C121:C125)</f>
        <v>33621000</v>
      </c>
      <c r="D126" s="72"/>
      <c r="E126" s="97"/>
      <c r="F126" s="98"/>
      <c r="L126" s="50"/>
    </row>
    <row r="127" spans="1:12" ht="72" customHeight="1" x14ac:dyDescent="0.4">
      <c r="A127" s="81" t="s">
        <v>300</v>
      </c>
      <c r="B127" s="59"/>
      <c r="C127" s="89"/>
      <c r="D127" s="60"/>
      <c r="E127" s="62"/>
      <c r="F127" s="30"/>
      <c r="L127" s="49"/>
    </row>
    <row r="128" spans="1:12" ht="22.8" x14ac:dyDescent="0.4">
      <c r="A128" s="26" t="s">
        <v>302</v>
      </c>
      <c r="B128" s="59">
        <v>1</v>
      </c>
      <c r="C128" s="89">
        <f>7914100*1</f>
        <v>7914100</v>
      </c>
      <c r="D128" s="60">
        <v>13</v>
      </c>
      <c r="E128" s="62"/>
      <c r="F128" s="30"/>
      <c r="L128" s="49"/>
    </row>
    <row r="129" spans="1:12" ht="22.8" x14ac:dyDescent="0.4">
      <c r="A129" s="26" t="s">
        <v>52</v>
      </c>
      <c r="B129" s="59">
        <v>1</v>
      </c>
      <c r="C129" s="84">
        <v>6978500</v>
      </c>
      <c r="D129" s="59">
        <v>11</v>
      </c>
      <c r="E129" s="62"/>
      <c r="F129" s="30"/>
      <c r="L129" s="49"/>
    </row>
    <row r="130" spans="1:12" s="99" customFormat="1" ht="22.8" x14ac:dyDescent="0.4">
      <c r="A130" s="51" t="s">
        <v>5</v>
      </c>
      <c r="B130" s="71">
        <f>SUM(B128:B129)</f>
        <v>2</v>
      </c>
      <c r="C130" s="90">
        <f>SUM(C128:C129)</f>
        <v>14892600</v>
      </c>
      <c r="D130" s="72"/>
      <c r="E130" s="97"/>
      <c r="F130" s="98"/>
      <c r="L130" s="50"/>
    </row>
    <row r="131" spans="1:12" ht="22.8" x14ac:dyDescent="0.4">
      <c r="A131" s="61" t="s">
        <v>304</v>
      </c>
      <c r="B131" s="59"/>
      <c r="C131" s="89"/>
      <c r="D131" s="60"/>
      <c r="E131" s="62"/>
      <c r="F131" s="30"/>
      <c r="L131" s="49"/>
    </row>
    <row r="132" spans="1:12" ht="22.8" x14ac:dyDescent="0.4">
      <c r="A132" s="26" t="s">
        <v>15</v>
      </c>
      <c r="B132" s="59">
        <v>1</v>
      </c>
      <c r="C132" s="84">
        <v>8388800</v>
      </c>
      <c r="D132" s="83">
        <v>14</v>
      </c>
      <c r="E132" s="62"/>
      <c r="F132" s="30"/>
      <c r="L132" s="49"/>
    </row>
    <row r="133" spans="1:12" ht="22.8" x14ac:dyDescent="0.4">
      <c r="A133" s="26" t="s">
        <v>52</v>
      </c>
      <c r="B133" s="59">
        <v>1</v>
      </c>
      <c r="C133" s="89">
        <v>6978500</v>
      </c>
      <c r="D133" s="59">
        <v>11</v>
      </c>
      <c r="E133" s="62"/>
      <c r="F133" s="30"/>
      <c r="L133" s="49"/>
    </row>
    <row r="134" spans="1:12" ht="22.8" x14ac:dyDescent="0.4">
      <c r="A134" s="26" t="s">
        <v>131</v>
      </c>
      <c r="B134" s="59">
        <v>1</v>
      </c>
      <c r="C134" s="89">
        <v>6524600</v>
      </c>
      <c r="D134" s="60">
        <v>10</v>
      </c>
      <c r="E134" s="62"/>
      <c r="F134" s="30"/>
      <c r="L134" s="49"/>
    </row>
    <row r="135" spans="1:12" ht="22.8" x14ac:dyDescent="0.4">
      <c r="A135" s="26" t="s">
        <v>197</v>
      </c>
      <c r="B135" s="59">
        <v>1</v>
      </c>
      <c r="C135" s="89">
        <v>6081100</v>
      </c>
      <c r="D135" s="60">
        <v>9</v>
      </c>
      <c r="E135" s="62"/>
      <c r="F135" s="30"/>
      <c r="L135" s="49"/>
    </row>
    <row r="136" spans="1:12" ht="22.8" x14ac:dyDescent="0.4">
      <c r="A136" s="26" t="s">
        <v>134</v>
      </c>
      <c r="B136" s="59">
        <v>1</v>
      </c>
      <c r="C136" s="89">
        <v>5648000</v>
      </c>
      <c r="D136" s="60">
        <v>8</v>
      </c>
      <c r="E136" s="62"/>
      <c r="F136" s="30"/>
      <c r="L136" s="49"/>
    </row>
    <row r="137" spans="1:12" s="99" customFormat="1" ht="22.8" x14ac:dyDescent="0.4">
      <c r="A137" s="51" t="s">
        <v>5</v>
      </c>
      <c r="B137" s="71">
        <f>SUM(B132:B136)</f>
        <v>5</v>
      </c>
      <c r="C137" s="90">
        <f>SUM(C132:C136)</f>
        <v>33621000</v>
      </c>
      <c r="D137" s="72"/>
      <c r="E137" s="97"/>
      <c r="F137" s="98"/>
      <c r="L137" s="50"/>
    </row>
    <row r="138" spans="1:12" s="99" customFormat="1" ht="45.6" x14ac:dyDescent="0.4">
      <c r="A138" s="51" t="s">
        <v>305</v>
      </c>
      <c r="B138" s="71"/>
      <c r="C138" s="90"/>
      <c r="D138" s="72"/>
      <c r="E138" s="97"/>
      <c r="F138" s="100"/>
      <c r="L138" s="50"/>
    </row>
    <row r="139" spans="1:12" s="99" customFormat="1" ht="22.8" x14ac:dyDescent="0.4">
      <c r="A139" s="61" t="s">
        <v>306</v>
      </c>
      <c r="B139" s="71"/>
      <c r="C139" s="90"/>
      <c r="D139" s="72"/>
      <c r="E139" s="97"/>
      <c r="F139" s="100"/>
      <c r="L139" s="50"/>
    </row>
    <row r="140" spans="1:12" s="99" customFormat="1" ht="22.8" x14ac:dyDescent="0.4">
      <c r="A140" s="26" t="s">
        <v>324</v>
      </c>
      <c r="B140" s="59">
        <v>1</v>
      </c>
      <c r="C140" s="84">
        <v>8388800</v>
      </c>
      <c r="D140" s="83">
        <v>14</v>
      </c>
      <c r="E140" s="97"/>
      <c r="F140" s="100"/>
      <c r="L140" s="50"/>
    </row>
    <row r="141" spans="1:12" s="99" customFormat="1" ht="22.8" x14ac:dyDescent="0.4">
      <c r="A141" s="26" t="s">
        <v>52</v>
      </c>
      <c r="B141" s="59">
        <v>1</v>
      </c>
      <c r="C141" s="92">
        <v>6978500</v>
      </c>
      <c r="D141" s="59">
        <v>11</v>
      </c>
      <c r="E141" s="97"/>
      <c r="F141" s="100"/>
      <c r="L141" s="50"/>
    </row>
    <row r="142" spans="1:12" s="99" customFormat="1" ht="22.8" x14ac:dyDescent="0.4">
      <c r="A142" s="26" t="s">
        <v>131</v>
      </c>
      <c r="B142" s="59">
        <v>1</v>
      </c>
      <c r="C142" s="89">
        <v>6524600</v>
      </c>
      <c r="D142" s="60">
        <v>10</v>
      </c>
      <c r="E142" s="97"/>
      <c r="F142" s="100"/>
      <c r="L142" s="50"/>
    </row>
    <row r="143" spans="1:12" s="99" customFormat="1" ht="22.8" x14ac:dyDescent="0.4">
      <c r="A143" s="26" t="s">
        <v>197</v>
      </c>
      <c r="B143" s="59">
        <v>1</v>
      </c>
      <c r="C143" s="89">
        <v>6081100</v>
      </c>
      <c r="D143" s="60">
        <v>9</v>
      </c>
      <c r="E143" s="97"/>
      <c r="F143" s="100"/>
      <c r="L143" s="50"/>
    </row>
    <row r="144" spans="1:12" s="99" customFormat="1" ht="22.8" x14ac:dyDescent="0.4">
      <c r="A144" s="26" t="s">
        <v>134</v>
      </c>
      <c r="B144" s="59">
        <v>1</v>
      </c>
      <c r="C144" s="89">
        <v>5648000</v>
      </c>
      <c r="D144" s="60">
        <v>8</v>
      </c>
      <c r="E144" s="97"/>
      <c r="F144" s="100"/>
      <c r="L144" s="50"/>
    </row>
    <row r="145" spans="1:12" s="99" customFormat="1" ht="22.8" x14ac:dyDescent="0.4">
      <c r="A145" s="51" t="s">
        <v>5</v>
      </c>
      <c r="B145" s="71">
        <f>SUM(B140:B144)</f>
        <v>5</v>
      </c>
      <c r="C145" s="90">
        <f>SUM(C140:C144)</f>
        <v>33621000</v>
      </c>
      <c r="D145" s="72"/>
      <c r="E145" s="97"/>
      <c r="F145" s="100"/>
      <c r="L145" s="50"/>
    </row>
    <row r="146" spans="1:12" s="99" customFormat="1" ht="22.8" x14ac:dyDescent="0.4">
      <c r="A146" s="51" t="s">
        <v>308</v>
      </c>
      <c r="B146" s="71"/>
      <c r="C146" s="90"/>
      <c r="D146" s="72"/>
      <c r="E146" s="97"/>
      <c r="F146" s="100"/>
      <c r="L146" s="50"/>
    </row>
    <row r="147" spans="1:12" s="99" customFormat="1" ht="22.8" x14ac:dyDescent="0.4">
      <c r="A147" s="26" t="s">
        <v>307</v>
      </c>
      <c r="B147" s="59">
        <v>1</v>
      </c>
      <c r="C147" s="89">
        <v>7914100</v>
      </c>
      <c r="D147" s="60">
        <v>13</v>
      </c>
      <c r="E147" s="97"/>
      <c r="F147" s="100"/>
      <c r="L147" s="50"/>
    </row>
    <row r="148" spans="1:12" s="99" customFormat="1" ht="22.8" x14ac:dyDescent="0.4">
      <c r="A148" s="26" t="s">
        <v>52</v>
      </c>
      <c r="B148" s="59">
        <v>1</v>
      </c>
      <c r="C148" s="92">
        <v>6978500</v>
      </c>
      <c r="D148" s="59">
        <v>11</v>
      </c>
      <c r="E148" s="97"/>
      <c r="F148" s="100"/>
      <c r="L148" s="50"/>
    </row>
    <row r="149" spans="1:12" s="99" customFormat="1" ht="22.8" x14ac:dyDescent="0.4">
      <c r="A149" s="26" t="s">
        <v>131</v>
      </c>
      <c r="B149" s="59">
        <v>1</v>
      </c>
      <c r="C149" s="89">
        <v>6524600</v>
      </c>
      <c r="D149" s="60">
        <v>10</v>
      </c>
      <c r="E149" s="97"/>
      <c r="F149" s="100"/>
      <c r="L149" s="50"/>
    </row>
    <row r="150" spans="1:12" ht="22.8" x14ac:dyDescent="0.4">
      <c r="A150" s="51" t="s">
        <v>5</v>
      </c>
      <c r="B150" s="71">
        <f>SUM(B147:B149)</f>
        <v>3</v>
      </c>
      <c r="C150" s="90">
        <f>SUM(C147:C149)</f>
        <v>21417200</v>
      </c>
      <c r="D150" s="60"/>
      <c r="E150" s="62"/>
      <c r="F150" s="57"/>
      <c r="L150" s="49"/>
    </row>
    <row r="151" spans="1:12" s="99" customFormat="1" ht="22.8" x14ac:dyDescent="0.4">
      <c r="A151" s="61" t="s">
        <v>309</v>
      </c>
      <c r="B151" s="71"/>
      <c r="C151" s="90"/>
      <c r="D151" s="72"/>
      <c r="E151" s="97"/>
      <c r="F151" s="100"/>
      <c r="L151" s="50"/>
    </row>
    <row r="152" spans="1:12" s="99" customFormat="1" ht="22.8" x14ac:dyDescent="0.4">
      <c r="A152" s="26" t="s">
        <v>15</v>
      </c>
      <c r="B152" s="59">
        <v>1</v>
      </c>
      <c r="C152" s="84">
        <v>8388800</v>
      </c>
      <c r="D152" s="83">
        <v>14</v>
      </c>
      <c r="E152" s="97"/>
      <c r="F152" s="100"/>
      <c r="L152" s="50"/>
    </row>
    <row r="153" spans="1:12" s="99" customFormat="1" ht="22.8" x14ac:dyDescent="0.4">
      <c r="A153" s="26" t="s">
        <v>52</v>
      </c>
      <c r="B153" s="59">
        <v>1</v>
      </c>
      <c r="C153" s="92">
        <v>6978500</v>
      </c>
      <c r="D153" s="59">
        <v>11</v>
      </c>
      <c r="E153" s="97"/>
      <c r="F153" s="100"/>
      <c r="L153" s="50"/>
    </row>
    <row r="154" spans="1:12" s="99" customFormat="1" ht="22.8" x14ac:dyDescent="0.4">
      <c r="A154" s="26" t="s">
        <v>131</v>
      </c>
      <c r="B154" s="59">
        <v>1</v>
      </c>
      <c r="C154" s="89">
        <v>6524600</v>
      </c>
      <c r="D154" s="60">
        <v>10</v>
      </c>
      <c r="E154" s="97"/>
      <c r="F154" s="100"/>
      <c r="L154" s="50"/>
    </row>
    <row r="155" spans="1:12" s="99" customFormat="1" ht="22.8" x14ac:dyDescent="0.4">
      <c r="A155" s="51" t="s">
        <v>5</v>
      </c>
      <c r="B155" s="71">
        <f>SUM(B152:B154)</f>
        <v>3</v>
      </c>
      <c r="C155" s="90">
        <f>SUM(C152:C154)</f>
        <v>21891900</v>
      </c>
      <c r="D155" s="72"/>
      <c r="E155" s="97"/>
      <c r="F155" s="100"/>
      <c r="L155" s="50"/>
    </row>
    <row r="156" spans="1:12" s="99" customFormat="1" ht="22.8" x14ac:dyDescent="0.4">
      <c r="A156" s="51" t="s">
        <v>310</v>
      </c>
      <c r="B156" s="71"/>
      <c r="C156" s="90"/>
      <c r="D156" s="72"/>
      <c r="E156" s="97"/>
      <c r="F156" s="100"/>
      <c r="L156" s="50"/>
    </row>
    <row r="157" spans="1:12" s="99" customFormat="1" ht="22.8" x14ac:dyDescent="0.4">
      <c r="A157" s="26" t="s">
        <v>15</v>
      </c>
      <c r="B157" s="59">
        <v>1</v>
      </c>
      <c r="C157" s="84">
        <v>8388800</v>
      </c>
      <c r="D157" s="83">
        <v>14</v>
      </c>
      <c r="E157" s="97"/>
      <c r="F157" s="100"/>
      <c r="L157" s="50"/>
    </row>
    <row r="158" spans="1:12" s="99" customFormat="1" ht="22.8" x14ac:dyDescent="0.4">
      <c r="A158" s="26" t="s">
        <v>52</v>
      </c>
      <c r="B158" s="59">
        <v>1</v>
      </c>
      <c r="C158" s="92">
        <v>6978500</v>
      </c>
      <c r="D158" s="59">
        <v>11</v>
      </c>
      <c r="E158" s="97"/>
      <c r="F158" s="100"/>
      <c r="L158" s="50"/>
    </row>
    <row r="159" spans="1:12" s="99" customFormat="1" ht="22.8" x14ac:dyDescent="0.4">
      <c r="A159" s="26" t="s">
        <v>131</v>
      </c>
      <c r="B159" s="59">
        <v>1</v>
      </c>
      <c r="C159" s="89">
        <v>6524600</v>
      </c>
      <c r="D159" s="60">
        <v>10</v>
      </c>
      <c r="E159" s="97"/>
      <c r="F159" s="100"/>
      <c r="L159" s="50"/>
    </row>
    <row r="160" spans="1:12" s="99" customFormat="1" ht="22.8" x14ac:dyDescent="0.4">
      <c r="A160" s="26" t="s">
        <v>197</v>
      </c>
      <c r="B160" s="59">
        <v>1</v>
      </c>
      <c r="C160" s="89">
        <v>6081100</v>
      </c>
      <c r="D160" s="60">
        <v>9</v>
      </c>
      <c r="E160" s="97"/>
      <c r="F160" s="100"/>
      <c r="L160" s="50"/>
    </row>
    <row r="161" spans="1:12" s="99" customFormat="1" ht="22.8" x14ac:dyDescent="0.4">
      <c r="A161" s="51" t="s">
        <v>5</v>
      </c>
      <c r="B161" s="71">
        <f>SUM(B157:B160)</f>
        <v>4</v>
      </c>
      <c r="C161" s="90">
        <f>SUM(C157:C160)</f>
        <v>27973000</v>
      </c>
      <c r="D161" s="72"/>
      <c r="E161" s="97"/>
      <c r="F161" s="100"/>
      <c r="L161" s="50"/>
    </row>
    <row r="162" spans="1:12" s="99" customFormat="1" ht="22.8" x14ac:dyDescent="0.4">
      <c r="A162" s="51" t="s">
        <v>312</v>
      </c>
      <c r="B162" s="71"/>
      <c r="C162" s="90"/>
      <c r="D162" s="72"/>
      <c r="E162" s="97"/>
      <c r="F162" s="100"/>
      <c r="L162" s="50"/>
    </row>
    <row r="163" spans="1:12" s="99" customFormat="1" ht="22.8" x14ac:dyDescent="0.4">
      <c r="A163" s="26" t="s">
        <v>15</v>
      </c>
      <c r="B163" s="59">
        <v>1</v>
      </c>
      <c r="C163" s="84">
        <v>8388800</v>
      </c>
      <c r="D163" s="83">
        <v>14</v>
      </c>
      <c r="E163" s="97"/>
      <c r="F163" s="100"/>
      <c r="L163" s="50"/>
    </row>
    <row r="164" spans="1:12" s="99" customFormat="1" ht="22.8" x14ac:dyDescent="0.4">
      <c r="A164" s="26" t="s">
        <v>52</v>
      </c>
      <c r="B164" s="59">
        <v>1</v>
      </c>
      <c r="C164" s="92">
        <v>6978500</v>
      </c>
      <c r="D164" s="59">
        <v>11</v>
      </c>
      <c r="E164" s="97"/>
      <c r="F164" s="100"/>
      <c r="L164" s="50"/>
    </row>
    <row r="165" spans="1:12" s="99" customFormat="1" ht="22.8" x14ac:dyDescent="0.4">
      <c r="A165" s="26" t="s">
        <v>131</v>
      </c>
      <c r="B165" s="59">
        <v>1</v>
      </c>
      <c r="C165" s="89">
        <v>6524600</v>
      </c>
      <c r="D165" s="60">
        <v>10</v>
      </c>
      <c r="E165" s="97"/>
      <c r="F165" s="100"/>
      <c r="L165" s="50"/>
    </row>
    <row r="166" spans="1:12" s="99" customFormat="1" ht="22.8" x14ac:dyDescent="0.4">
      <c r="A166" s="26" t="s">
        <v>197</v>
      </c>
      <c r="B166" s="59">
        <v>1</v>
      </c>
      <c r="C166" s="89">
        <v>6081100</v>
      </c>
      <c r="D166" s="60">
        <v>9</v>
      </c>
      <c r="E166" s="97"/>
      <c r="F166" s="100"/>
      <c r="L166" s="50"/>
    </row>
    <row r="167" spans="1:12" s="99" customFormat="1" ht="22.8" x14ac:dyDescent="0.4">
      <c r="A167" s="51" t="s">
        <v>5</v>
      </c>
      <c r="B167" s="71">
        <f>SUM(B163:B166)</f>
        <v>4</v>
      </c>
      <c r="C167" s="90">
        <f>SUM(C163:C166)</f>
        <v>27973000</v>
      </c>
      <c r="D167" s="72"/>
      <c r="E167" s="97"/>
      <c r="F167" s="100"/>
      <c r="L167" s="50"/>
    </row>
    <row r="168" spans="1:12" s="99" customFormat="1" ht="45.6" x14ac:dyDescent="0.4">
      <c r="A168" s="51" t="s">
        <v>311</v>
      </c>
      <c r="B168" s="71"/>
      <c r="C168" s="90"/>
      <c r="D168" s="72"/>
      <c r="E168" s="97"/>
      <c r="F168" s="100"/>
      <c r="L168" s="50"/>
    </row>
    <row r="169" spans="1:12" s="99" customFormat="1" ht="45.6" x14ac:dyDescent="0.4">
      <c r="A169" s="51" t="s">
        <v>313</v>
      </c>
      <c r="B169" s="71"/>
      <c r="C169" s="90"/>
      <c r="D169" s="72"/>
      <c r="E169" s="97"/>
      <c r="F169" s="100"/>
      <c r="L169" s="50"/>
    </row>
    <row r="170" spans="1:12" s="99" customFormat="1" ht="22.8" x14ac:dyDescent="0.4">
      <c r="A170" s="26" t="s">
        <v>15</v>
      </c>
      <c r="B170" s="59">
        <v>1</v>
      </c>
      <c r="C170" s="84">
        <v>8388800</v>
      </c>
      <c r="D170" s="83">
        <v>14</v>
      </c>
      <c r="E170" s="97"/>
      <c r="F170" s="100"/>
      <c r="L170" s="50"/>
    </row>
    <row r="171" spans="1:12" s="99" customFormat="1" ht="22.8" x14ac:dyDescent="0.4">
      <c r="A171" s="26" t="s">
        <v>52</v>
      </c>
      <c r="B171" s="59">
        <v>2</v>
      </c>
      <c r="C171" s="92">
        <v>6978500</v>
      </c>
      <c r="D171" s="59">
        <v>11</v>
      </c>
      <c r="E171" s="97"/>
      <c r="F171" s="100"/>
      <c r="L171" s="50"/>
    </row>
    <row r="172" spans="1:12" s="99" customFormat="1" ht="22.8" x14ac:dyDescent="0.4">
      <c r="A172" s="26" t="s">
        <v>131</v>
      </c>
      <c r="B172" s="59">
        <v>2</v>
      </c>
      <c r="C172" s="89">
        <v>6524600</v>
      </c>
      <c r="D172" s="60">
        <v>10</v>
      </c>
      <c r="E172" s="97"/>
      <c r="F172" s="100"/>
      <c r="L172" s="50"/>
    </row>
    <row r="173" spans="1:12" s="99" customFormat="1" ht="22.8" x14ac:dyDescent="0.4">
      <c r="A173" s="26" t="s">
        <v>197</v>
      </c>
      <c r="B173" s="59">
        <v>3</v>
      </c>
      <c r="C173" s="89">
        <v>6081100</v>
      </c>
      <c r="D173" s="60">
        <v>9</v>
      </c>
      <c r="E173" s="97"/>
      <c r="F173" s="100"/>
      <c r="L173" s="50"/>
    </row>
    <row r="174" spans="1:12" s="99" customFormat="1" ht="22.8" x14ac:dyDescent="0.4">
      <c r="A174" s="51" t="s">
        <v>5</v>
      </c>
      <c r="B174" s="71">
        <f>SUM(B170:B173)</f>
        <v>8</v>
      </c>
      <c r="C174" s="90">
        <f>SUM(C170:C173)</f>
        <v>27973000</v>
      </c>
      <c r="D174" s="72"/>
      <c r="E174" s="97"/>
      <c r="F174" s="100"/>
      <c r="L174" s="50"/>
    </row>
    <row r="175" spans="1:12" s="99" customFormat="1" ht="101.25" customHeight="1" x14ac:dyDescent="0.4">
      <c r="A175" s="81" t="s">
        <v>314</v>
      </c>
      <c r="B175" s="71"/>
      <c r="C175" s="90"/>
      <c r="D175" s="72"/>
      <c r="E175" s="97"/>
      <c r="F175" s="100"/>
      <c r="L175" s="50"/>
    </row>
    <row r="176" spans="1:12" s="99" customFormat="1" ht="22.8" x14ac:dyDescent="0.4">
      <c r="A176" s="26" t="s">
        <v>52</v>
      </c>
      <c r="B176" s="59">
        <v>14</v>
      </c>
      <c r="C176" s="92">
        <v>6978500</v>
      </c>
      <c r="D176" s="59">
        <v>11</v>
      </c>
      <c r="E176" s="97"/>
      <c r="F176" s="100"/>
      <c r="L176" s="50"/>
    </row>
    <row r="177" spans="1:37" s="99" customFormat="1" ht="22.8" x14ac:dyDescent="0.4">
      <c r="A177" s="26" t="s">
        <v>131</v>
      </c>
      <c r="B177" s="59">
        <v>6</v>
      </c>
      <c r="C177" s="89">
        <v>6524600</v>
      </c>
      <c r="D177" s="60">
        <v>10</v>
      </c>
      <c r="E177" s="97"/>
      <c r="F177" s="100"/>
      <c r="L177" s="50"/>
    </row>
    <row r="178" spans="1:37" s="99" customFormat="1" ht="22.8" x14ac:dyDescent="0.4">
      <c r="A178" s="26" t="s">
        <v>197</v>
      </c>
      <c r="B178" s="59">
        <v>6</v>
      </c>
      <c r="C178" s="89">
        <v>6081100</v>
      </c>
      <c r="D178" s="60">
        <v>9</v>
      </c>
      <c r="E178" s="97"/>
      <c r="F178" s="100"/>
      <c r="L178" s="50"/>
    </row>
    <row r="179" spans="1:37" ht="22.8" x14ac:dyDescent="0.4">
      <c r="A179" s="26" t="s">
        <v>134</v>
      </c>
      <c r="B179" s="59">
        <v>6</v>
      </c>
      <c r="C179" s="89">
        <f>5648000*1</f>
        <v>5648000</v>
      </c>
      <c r="D179" s="60">
        <v>8</v>
      </c>
      <c r="E179" s="62"/>
      <c r="F179" s="30"/>
      <c r="L179" s="49"/>
    </row>
    <row r="180" spans="1:37" s="99" customFormat="1" ht="22.8" x14ac:dyDescent="0.4">
      <c r="A180" s="51" t="s">
        <v>5</v>
      </c>
      <c r="B180" s="71">
        <f>SUM(B176:B179)</f>
        <v>32</v>
      </c>
      <c r="C180" s="90">
        <f>SUM(C176:C179)</f>
        <v>25232200</v>
      </c>
      <c r="D180" s="72"/>
      <c r="E180" s="97"/>
      <c r="F180" s="100"/>
      <c r="L180" s="50"/>
    </row>
    <row r="181" spans="1:37" s="99" customFormat="1" ht="22.8" x14ac:dyDescent="0.4">
      <c r="A181" s="51" t="s">
        <v>274</v>
      </c>
      <c r="B181" s="71">
        <f>+B15+B21+B25+B30+B35+B39+B44+B52+B63+B72+B77+B84+B92+B98+B103+B113+B119+B126+B130+B137+B145+B150+B155+B161+B167+B174+B180</f>
        <v>200</v>
      </c>
      <c r="C181" s="90">
        <f>+C15+C21+C25+C30+C35+C39+C44+C52+C63+C72+C77+C84+C92+C98+C103+C113+C119+C126+C130+C137+C145+C150+C155+C161+C167+C174+C180</f>
        <v>977554600</v>
      </c>
      <c r="D181" s="72"/>
      <c r="E181" s="26"/>
      <c r="F181" s="26"/>
      <c r="G181" s="5"/>
      <c r="H181" s="5"/>
      <c r="I181" s="5"/>
      <c r="J181" s="5"/>
      <c r="K181" s="5"/>
      <c r="L181" s="50" t="e">
        <f>+#REF!+#REF!+#REF!+#REF!+#REF!+#REF!+#REF!+#REF!+#REF!+L11+L19+L25+L32+L77+L84+L90+L97+L103+L110+L116+L123+L131+L137</f>
        <v>#REF!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22.8" x14ac:dyDescent="0.4">
      <c r="A182" s="26"/>
      <c r="B182" s="59"/>
      <c r="C182" s="89"/>
      <c r="D182" s="60"/>
      <c r="E182" s="62"/>
      <c r="F182" s="30"/>
      <c r="L182" s="49"/>
    </row>
    <row r="183" spans="1:37" x14ac:dyDescent="0.45">
      <c r="A183" s="263" t="s">
        <v>264</v>
      </c>
      <c r="B183" s="263"/>
      <c r="C183" s="263"/>
      <c r="D183" s="263"/>
      <c r="E183" s="263"/>
      <c r="L183" s="5"/>
    </row>
    <row r="184" spans="1:37" x14ac:dyDescent="0.45">
      <c r="A184" s="8"/>
      <c r="B184" s="73"/>
      <c r="C184" s="93"/>
      <c r="D184" s="60"/>
      <c r="L184" s="34"/>
    </row>
    <row r="185" spans="1:37" x14ac:dyDescent="0.45">
      <c r="A185" s="8"/>
      <c r="B185" s="73"/>
      <c r="C185" s="93"/>
      <c r="D185" s="60"/>
      <c r="L185" s="34"/>
    </row>
    <row r="186" spans="1:37" s="9" customFormat="1" ht="22.8" x14ac:dyDescent="0.4">
      <c r="A186" s="39" t="s">
        <v>236</v>
      </c>
      <c r="B186" s="74"/>
      <c r="C186" s="94" t="s">
        <v>260</v>
      </c>
      <c r="D186" s="72"/>
      <c r="E186" s="8"/>
      <c r="F186" s="8"/>
      <c r="G186" s="5"/>
      <c r="L186" s="40" t="s">
        <v>260</v>
      </c>
    </row>
    <row r="187" spans="1:37" s="9" customFormat="1" ht="22.8" x14ac:dyDescent="0.4">
      <c r="A187" s="39"/>
      <c r="B187" s="74"/>
      <c r="C187" s="94"/>
      <c r="D187" s="72"/>
      <c r="E187" s="8"/>
      <c r="F187" s="8"/>
      <c r="G187" s="5"/>
      <c r="L187" s="41"/>
    </row>
    <row r="188" spans="1:37" s="9" customFormat="1" ht="22.8" x14ac:dyDescent="0.4">
      <c r="A188" s="39" t="s">
        <v>23</v>
      </c>
      <c r="B188" s="74"/>
      <c r="C188" s="94" t="s">
        <v>132</v>
      </c>
      <c r="D188" s="72"/>
      <c r="E188" s="8"/>
      <c r="F188" s="8"/>
      <c r="G188" s="5"/>
      <c r="L188" s="41" t="s">
        <v>132</v>
      </c>
    </row>
    <row r="189" spans="1:37" s="9" customFormat="1" ht="23.25" customHeight="1" x14ac:dyDescent="0.4">
      <c r="B189" s="75"/>
      <c r="C189" s="95"/>
      <c r="D189" s="76"/>
      <c r="E189" s="8"/>
      <c r="F189" s="8"/>
      <c r="G189" s="5"/>
      <c r="L189" s="10"/>
    </row>
    <row r="191" spans="1:37" x14ac:dyDescent="0.45">
      <c r="A191" s="46" t="s">
        <v>266</v>
      </c>
    </row>
    <row r="192" spans="1:37" x14ac:dyDescent="0.45">
      <c r="A192" s="46"/>
    </row>
    <row r="193" spans="1:12" x14ac:dyDescent="0.45">
      <c r="A193" s="46"/>
    </row>
    <row r="194" spans="1:12" x14ac:dyDescent="0.45">
      <c r="A194" s="47" t="s">
        <v>267</v>
      </c>
      <c r="B194" s="77"/>
      <c r="C194" s="96" t="s">
        <v>16</v>
      </c>
      <c r="L194" s="7" t="s">
        <v>16</v>
      </c>
    </row>
    <row r="195" spans="1:12" x14ac:dyDescent="0.45">
      <c r="A195" s="47"/>
      <c r="C195" s="96"/>
      <c r="L195" s="7"/>
    </row>
    <row r="196" spans="1:12" x14ac:dyDescent="0.45">
      <c r="A196" s="47" t="s">
        <v>6</v>
      </c>
      <c r="B196" s="77"/>
      <c r="C196" s="96" t="s">
        <v>7</v>
      </c>
      <c r="L196" s="7" t="s">
        <v>7</v>
      </c>
    </row>
    <row r="197" spans="1:12" x14ac:dyDescent="0.45">
      <c r="A197" s="47"/>
      <c r="C197" s="96"/>
      <c r="L197" s="7"/>
    </row>
    <row r="198" spans="1:12" x14ac:dyDescent="0.45">
      <c r="A198" s="47" t="s">
        <v>268</v>
      </c>
      <c r="B198" s="77"/>
      <c r="C198" s="96" t="s">
        <v>272</v>
      </c>
      <c r="L198" s="7" t="s">
        <v>272</v>
      </c>
    </row>
    <row r="199" spans="1:12" x14ac:dyDescent="0.45">
      <c r="A199" s="47"/>
      <c r="C199" s="96"/>
      <c r="L199" s="7"/>
    </row>
    <row r="200" spans="1:12" x14ac:dyDescent="0.45">
      <c r="A200" s="47" t="s">
        <v>269</v>
      </c>
      <c r="B200" s="77"/>
      <c r="C200" s="96" t="s">
        <v>121</v>
      </c>
      <c r="L200" s="7" t="s">
        <v>121</v>
      </c>
    </row>
    <row r="201" spans="1:12" x14ac:dyDescent="0.45">
      <c r="A201" s="47"/>
      <c r="C201" s="96"/>
      <c r="L201" s="7"/>
    </row>
    <row r="202" spans="1:12" x14ac:dyDescent="0.45">
      <c r="A202" s="47" t="s">
        <v>270</v>
      </c>
      <c r="B202" s="77"/>
      <c r="C202" s="96" t="s">
        <v>17</v>
      </c>
      <c r="L202" s="7" t="s">
        <v>17</v>
      </c>
    </row>
    <row r="203" spans="1:12" x14ac:dyDescent="0.45">
      <c r="A203" s="47"/>
      <c r="C203" s="96"/>
      <c r="L203" s="7"/>
    </row>
    <row r="204" spans="1:12" x14ac:dyDescent="0.45">
      <c r="A204" s="47" t="s">
        <v>270</v>
      </c>
      <c r="B204" s="77"/>
      <c r="C204" s="96" t="s">
        <v>20</v>
      </c>
      <c r="L204" s="7" t="s">
        <v>20</v>
      </c>
    </row>
    <row r="205" spans="1:12" x14ac:dyDescent="0.45">
      <c r="A205" s="47"/>
      <c r="C205" s="96"/>
      <c r="L205" s="7"/>
    </row>
    <row r="206" spans="1:12" x14ac:dyDescent="0.45">
      <c r="A206" s="47" t="s">
        <v>214</v>
      </c>
      <c r="B206" s="77"/>
      <c r="C206" s="96" t="s">
        <v>25</v>
      </c>
      <c r="L206" s="7" t="s">
        <v>25</v>
      </c>
    </row>
    <row r="207" spans="1:12" x14ac:dyDescent="0.45">
      <c r="A207" s="47"/>
      <c r="C207" s="96"/>
      <c r="L207" s="7"/>
    </row>
    <row r="208" spans="1:12" x14ac:dyDescent="0.45">
      <c r="A208" s="47" t="s">
        <v>270</v>
      </c>
      <c r="B208" s="77"/>
      <c r="C208" s="96" t="s">
        <v>47</v>
      </c>
      <c r="L208" s="7" t="s">
        <v>47</v>
      </c>
    </row>
    <row r="209" spans="1:12" x14ac:dyDescent="0.45">
      <c r="A209" s="47"/>
      <c r="C209" s="96"/>
      <c r="L209" s="7"/>
    </row>
    <row r="210" spans="1:12" x14ac:dyDescent="0.45">
      <c r="A210" s="47" t="s">
        <v>271</v>
      </c>
      <c r="B210" s="77"/>
      <c r="C210" s="96" t="s">
        <v>51</v>
      </c>
      <c r="L210" s="7" t="s">
        <v>51</v>
      </c>
    </row>
    <row r="211" spans="1:12" x14ac:dyDescent="0.45">
      <c r="A211" s="47"/>
      <c r="C211" s="96"/>
      <c r="L211" s="7"/>
    </row>
    <row r="212" spans="1:12" x14ac:dyDescent="0.45">
      <c r="A212" s="47" t="s">
        <v>214</v>
      </c>
      <c r="B212" s="77"/>
      <c r="C212" s="96" t="s">
        <v>57</v>
      </c>
      <c r="L212" s="7" t="s">
        <v>57</v>
      </c>
    </row>
    <row r="213" spans="1:12" x14ac:dyDescent="0.45">
      <c r="A213" s="47"/>
      <c r="C213" s="96"/>
      <c r="L213" s="7"/>
    </row>
    <row r="214" spans="1:12" x14ac:dyDescent="0.45">
      <c r="A214" s="47" t="s">
        <v>214</v>
      </c>
      <c r="B214" s="77"/>
      <c r="C214" s="96" t="s">
        <v>62</v>
      </c>
      <c r="L214" s="7" t="s">
        <v>62</v>
      </c>
    </row>
    <row r="215" spans="1:12" x14ac:dyDescent="0.45">
      <c r="A215" s="47"/>
      <c r="C215" s="96"/>
      <c r="L215" s="7"/>
    </row>
    <row r="216" spans="1:12" x14ac:dyDescent="0.45">
      <c r="A216" s="47" t="s">
        <v>270</v>
      </c>
      <c r="B216" s="77"/>
      <c r="C216" s="96" t="s">
        <v>124</v>
      </c>
      <c r="L216" s="7" t="s">
        <v>124</v>
      </c>
    </row>
    <row r="217" spans="1:12" x14ac:dyDescent="0.45">
      <c r="A217" s="47"/>
      <c r="C217" s="96"/>
      <c r="L217" s="7"/>
    </row>
    <row r="218" spans="1:12" x14ac:dyDescent="0.45">
      <c r="A218" s="47" t="s">
        <v>271</v>
      </c>
      <c r="B218" s="77"/>
      <c r="C218" s="96" t="s">
        <v>179</v>
      </c>
      <c r="L218" s="7" t="s">
        <v>179</v>
      </c>
    </row>
    <row r="219" spans="1:12" x14ac:dyDescent="0.45">
      <c r="A219" s="47"/>
      <c r="C219" s="96"/>
      <c r="L219" s="7"/>
    </row>
    <row r="220" spans="1:12" x14ac:dyDescent="0.45">
      <c r="A220" s="47" t="s">
        <v>270</v>
      </c>
      <c r="B220" s="77"/>
      <c r="C220" s="96" t="s">
        <v>56</v>
      </c>
      <c r="L220" s="7" t="s">
        <v>56</v>
      </c>
    </row>
    <row r="221" spans="1:12" x14ac:dyDescent="0.45">
      <c r="A221" s="47"/>
      <c r="C221" s="96"/>
      <c r="L221" s="7"/>
    </row>
    <row r="222" spans="1:12" x14ac:dyDescent="0.45">
      <c r="A222" s="47" t="s">
        <v>214</v>
      </c>
      <c r="B222" s="77"/>
      <c r="C222" s="96" t="s">
        <v>65</v>
      </c>
      <c r="L222" s="7" t="s">
        <v>65</v>
      </c>
    </row>
    <row r="223" spans="1:12" x14ac:dyDescent="0.45">
      <c r="A223" s="47"/>
      <c r="C223" s="96"/>
      <c r="L223" s="7"/>
    </row>
    <row r="224" spans="1:12" x14ac:dyDescent="0.45">
      <c r="A224" s="47" t="s">
        <v>270</v>
      </c>
      <c r="B224" s="77"/>
      <c r="C224" s="96" t="s">
        <v>106</v>
      </c>
      <c r="L224" s="7" t="s">
        <v>106</v>
      </c>
    </row>
    <row r="225" spans="1:12" x14ac:dyDescent="0.45">
      <c r="A225" s="47"/>
      <c r="C225" s="96"/>
      <c r="L225" s="7"/>
    </row>
    <row r="226" spans="1:12" x14ac:dyDescent="0.45">
      <c r="A226" s="47" t="s">
        <v>270</v>
      </c>
      <c r="B226" s="77"/>
      <c r="C226" s="96" t="s">
        <v>111</v>
      </c>
      <c r="L226" s="7" t="s">
        <v>111</v>
      </c>
    </row>
    <row r="227" spans="1:12" x14ac:dyDescent="0.45">
      <c r="A227" s="47"/>
      <c r="C227" s="96"/>
      <c r="L227" s="7"/>
    </row>
    <row r="228" spans="1:12" x14ac:dyDescent="0.45">
      <c r="A228" s="47" t="s">
        <v>270</v>
      </c>
      <c r="B228" s="77"/>
      <c r="C228" s="96" t="s">
        <v>118</v>
      </c>
      <c r="L228" s="7" t="s">
        <v>118</v>
      </c>
    </row>
    <row r="229" spans="1:12" x14ac:dyDescent="0.45">
      <c r="A229" s="47"/>
      <c r="C229" s="96"/>
      <c r="L229" s="7"/>
    </row>
    <row r="230" spans="1:12" x14ac:dyDescent="0.45">
      <c r="A230" s="47" t="s">
        <v>270</v>
      </c>
      <c r="B230" s="77"/>
      <c r="C230" s="96" t="s">
        <v>114</v>
      </c>
      <c r="L230" s="7" t="s">
        <v>114</v>
      </c>
    </row>
    <row r="231" spans="1:12" x14ac:dyDescent="0.45">
      <c r="A231" s="47"/>
      <c r="C231" s="96"/>
      <c r="L231" s="7"/>
    </row>
    <row r="232" spans="1:12" x14ac:dyDescent="0.45">
      <c r="A232" s="47" t="s">
        <v>270</v>
      </c>
      <c r="B232" s="77"/>
      <c r="C232" s="96" t="s">
        <v>276</v>
      </c>
      <c r="L232" s="7" t="s">
        <v>50</v>
      </c>
    </row>
    <row r="233" spans="1:12" x14ac:dyDescent="0.45">
      <c r="A233" s="47"/>
      <c r="C233" s="96"/>
      <c r="L233" s="7"/>
    </row>
    <row r="234" spans="1:12" x14ac:dyDescent="0.45">
      <c r="A234" s="47" t="s">
        <v>270</v>
      </c>
      <c r="B234" s="77"/>
      <c r="C234" s="96" t="s">
        <v>35</v>
      </c>
      <c r="L234" s="7" t="s">
        <v>35</v>
      </c>
    </row>
    <row r="236" spans="1:12" x14ac:dyDescent="0.45">
      <c r="A236" s="47" t="s">
        <v>270</v>
      </c>
      <c r="B236" s="77"/>
      <c r="C236" s="96" t="s">
        <v>256</v>
      </c>
      <c r="L236" s="7" t="s">
        <v>234</v>
      </c>
    </row>
    <row r="238" spans="1:12" x14ac:dyDescent="0.45">
      <c r="A238" s="47" t="s">
        <v>270</v>
      </c>
      <c r="B238" s="77"/>
      <c r="C238" s="96" t="s">
        <v>275</v>
      </c>
      <c r="L238" s="7" t="s">
        <v>185</v>
      </c>
    </row>
  </sheetData>
  <autoFilter ref="A11:D182" xr:uid="{00000000-0009-0000-0000-000005000000}"/>
  <mergeCells count="7">
    <mergeCell ref="A183:E183"/>
    <mergeCell ref="B2:D2"/>
    <mergeCell ref="B1:D1"/>
    <mergeCell ref="A6:D6"/>
    <mergeCell ref="A7:D7"/>
    <mergeCell ref="A105:C105"/>
    <mergeCell ref="A114:C114"/>
  </mergeCells>
  <pageMargins left="0.70866141732283472" right="0.70866141732283472" top="0.78740157480314965" bottom="0.74803149606299213" header="0.31496062992125984" footer="0.31496062992125984"/>
  <pageSetup paperSize="9" scale="51" fitToHeight="0" orientation="portrait" verticalDpi="0" r:id="rId1"/>
  <rowBreaks count="1" manualBreakCount="1">
    <brk id="184" max="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9"/>
  <sheetViews>
    <sheetView topLeftCell="A131" zoomScale="70" zoomScaleNormal="70" workbookViewId="0">
      <selection activeCell="D184" sqref="D184"/>
    </sheetView>
  </sheetViews>
  <sheetFormatPr defaultColWidth="9.109375" defaultRowHeight="23.4" x14ac:dyDescent="0.45"/>
  <cols>
    <col min="1" max="1" width="66" style="5" customWidth="1"/>
    <col min="2" max="2" width="9.44140625" style="5" customWidth="1"/>
    <col min="3" max="3" width="11" style="5" customWidth="1"/>
    <col min="4" max="4" width="24.88671875" style="11" customWidth="1"/>
    <col min="5" max="5" width="85.44140625" style="12" customWidth="1"/>
    <col min="6" max="6" width="17.88671875" style="12" hidden="1" customWidth="1"/>
    <col min="7" max="7" width="16" style="12" hidden="1" customWidth="1"/>
    <col min="8" max="8" width="14.88671875" style="5" hidden="1" customWidth="1"/>
    <col min="9" max="9" width="0" style="5" hidden="1" customWidth="1"/>
    <col min="10" max="10" width="14.6640625" style="5" hidden="1" customWidth="1"/>
    <col min="11" max="11" width="0" style="5" hidden="1" customWidth="1"/>
    <col min="12" max="16384" width="9.109375" style="5"/>
  </cols>
  <sheetData>
    <row r="1" spans="1:8" thickBot="1" x14ac:dyDescent="0.45">
      <c r="A1" s="18" t="s">
        <v>239</v>
      </c>
      <c r="B1" s="1">
        <v>1</v>
      </c>
      <c r="C1" s="22">
        <v>1</v>
      </c>
      <c r="D1" s="2">
        <v>3150000</v>
      </c>
      <c r="E1" s="4" t="s">
        <v>9</v>
      </c>
      <c r="F1" s="2">
        <v>3150000</v>
      </c>
      <c r="G1" s="30" t="e">
        <f>+#REF!*#REF!*H1</f>
        <v>#REF!</v>
      </c>
      <c r="H1" s="5">
        <v>1</v>
      </c>
    </row>
    <row r="2" spans="1:8" thickBot="1" x14ac:dyDescent="0.45">
      <c r="A2" s="18" t="s">
        <v>239</v>
      </c>
      <c r="B2" s="1">
        <v>1</v>
      </c>
      <c r="C2" s="22">
        <v>1</v>
      </c>
      <c r="D2" s="2">
        <v>3150000</v>
      </c>
      <c r="E2" s="4" t="s">
        <v>128</v>
      </c>
      <c r="F2" s="2">
        <v>3150000</v>
      </c>
      <c r="G2" s="30" t="e">
        <f>+#REF!*#REF!*H2</f>
        <v>#REF!</v>
      </c>
      <c r="H2" s="5">
        <v>1</v>
      </c>
    </row>
    <row r="3" spans="1:8" thickBot="1" x14ac:dyDescent="0.45">
      <c r="A3" s="18" t="s">
        <v>239</v>
      </c>
      <c r="B3" s="1">
        <v>1</v>
      </c>
      <c r="C3" s="22">
        <v>1</v>
      </c>
      <c r="D3" s="2">
        <v>3150000</v>
      </c>
      <c r="E3" s="4" t="s">
        <v>122</v>
      </c>
      <c r="F3" s="2">
        <v>3150000</v>
      </c>
      <c r="G3" s="30" t="e">
        <f>+#REF!*#REF!*H3</f>
        <v>#REF!</v>
      </c>
      <c r="H3" s="5">
        <v>1</v>
      </c>
    </row>
    <row r="4" spans="1:8" thickBot="1" x14ac:dyDescent="0.45">
      <c r="A4" s="18" t="s">
        <v>163</v>
      </c>
      <c r="B4" s="1">
        <v>1</v>
      </c>
      <c r="C4" s="22">
        <v>4</v>
      </c>
      <c r="D4" s="2">
        <v>3647700</v>
      </c>
      <c r="E4" s="4" t="s">
        <v>191</v>
      </c>
      <c r="F4" s="2">
        <v>3647700</v>
      </c>
      <c r="G4" s="30" t="e">
        <f>+#REF!*#REF!*H4</f>
        <v>#REF!</v>
      </c>
      <c r="H4" s="5">
        <v>1.1579999999999999</v>
      </c>
    </row>
    <row r="5" spans="1:8" thickBot="1" x14ac:dyDescent="0.45">
      <c r="A5" s="18" t="s">
        <v>13</v>
      </c>
      <c r="B5" s="1">
        <v>1</v>
      </c>
      <c r="C5" s="22">
        <v>7</v>
      </c>
      <c r="D5" s="2">
        <v>4740800</v>
      </c>
      <c r="E5" s="4" t="s">
        <v>14</v>
      </c>
      <c r="F5" s="2">
        <v>4740800</v>
      </c>
      <c r="G5" s="30" t="e">
        <f>+#REF!*#REF!*H5</f>
        <v>#REF!</v>
      </c>
      <c r="H5" s="5">
        <v>1.5049999999999999</v>
      </c>
    </row>
    <row r="6" spans="1:8" thickBot="1" x14ac:dyDescent="0.45">
      <c r="A6" s="19" t="s">
        <v>31</v>
      </c>
      <c r="B6" s="16">
        <v>1</v>
      </c>
      <c r="C6" s="22">
        <v>8</v>
      </c>
      <c r="D6" s="32">
        <v>5134500</v>
      </c>
      <c r="E6" s="4" t="s">
        <v>255</v>
      </c>
      <c r="F6" s="2">
        <v>5134500</v>
      </c>
      <c r="G6" s="30" t="e">
        <f>+#REF!*#REF!*H6</f>
        <v>#REF!</v>
      </c>
      <c r="H6" s="5">
        <v>1.63</v>
      </c>
    </row>
    <row r="7" spans="1:8" thickBot="1" x14ac:dyDescent="0.45">
      <c r="A7" s="18" t="s">
        <v>134</v>
      </c>
      <c r="B7" s="1">
        <v>1</v>
      </c>
      <c r="C7" s="22">
        <v>8</v>
      </c>
      <c r="D7" s="2">
        <v>5134500</v>
      </c>
      <c r="E7" s="4" t="s">
        <v>249</v>
      </c>
      <c r="F7" s="2">
        <v>5134500</v>
      </c>
      <c r="G7" s="30" t="e">
        <f>+#REF!*#REF!*H7</f>
        <v>#REF!</v>
      </c>
      <c r="H7" s="5">
        <v>1.63</v>
      </c>
    </row>
    <row r="8" spans="1:8" thickBot="1" x14ac:dyDescent="0.45">
      <c r="A8" s="18" t="s">
        <v>211</v>
      </c>
      <c r="B8" s="1">
        <v>1</v>
      </c>
      <c r="C8" s="22">
        <v>8</v>
      </c>
      <c r="D8" s="2">
        <v>5134500</v>
      </c>
      <c r="E8" s="4" t="s">
        <v>252</v>
      </c>
      <c r="F8" s="2">
        <v>5134500</v>
      </c>
      <c r="G8" s="30" t="e">
        <f>+#REF!*#REF!*H8</f>
        <v>#REF!</v>
      </c>
      <c r="H8" s="5">
        <v>1.63</v>
      </c>
    </row>
    <row r="9" spans="1:8" ht="21.75" customHeight="1" thickBot="1" x14ac:dyDescent="0.45">
      <c r="A9" s="18" t="s">
        <v>31</v>
      </c>
      <c r="B9" s="1">
        <v>1</v>
      </c>
      <c r="C9" s="22">
        <v>8</v>
      </c>
      <c r="D9" s="2">
        <v>5134500</v>
      </c>
      <c r="E9" s="4" t="s">
        <v>165</v>
      </c>
      <c r="F9" s="2">
        <v>5134500</v>
      </c>
      <c r="G9" s="30" t="e">
        <f>+#REF!*#REF!*H9</f>
        <v>#REF!</v>
      </c>
      <c r="H9" s="5">
        <v>1.63</v>
      </c>
    </row>
    <row r="10" spans="1:8" thickBot="1" x14ac:dyDescent="0.45">
      <c r="A10" s="18" t="s">
        <v>33</v>
      </c>
      <c r="B10" s="1">
        <v>1</v>
      </c>
      <c r="C10" s="22">
        <v>8</v>
      </c>
      <c r="D10" s="2">
        <v>5134500</v>
      </c>
      <c r="E10" s="4" t="s">
        <v>167</v>
      </c>
      <c r="F10" s="2">
        <v>5134500</v>
      </c>
      <c r="G10" s="30" t="e">
        <f>+#REF!*#REF!*H10</f>
        <v>#REF!</v>
      </c>
      <c r="H10" s="5">
        <v>1.63</v>
      </c>
    </row>
    <row r="11" spans="1:8" thickBot="1" x14ac:dyDescent="0.45">
      <c r="A11" s="18" t="s">
        <v>33</v>
      </c>
      <c r="B11" s="1">
        <v>1</v>
      </c>
      <c r="C11" s="22">
        <v>8</v>
      </c>
      <c r="D11" s="2">
        <v>5134500</v>
      </c>
      <c r="E11" s="4" t="s">
        <v>190</v>
      </c>
      <c r="F11" s="2">
        <v>5134500</v>
      </c>
      <c r="G11" s="30" t="e">
        <f>+#REF!*#REF!*H11</f>
        <v>#REF!</v>
      </c>
      <c r="H11" s="5">
        <v>1.63</v>
      </c>
    </row>
    <row r="12" spans="1:8" thickBot="1" x14ac:dyDescent="0.45">
      <c r="A12" s="18" t="s">
        <v>33</v>
      </c>
      <c r="B12" s="1">
        <v>1</v>
      </c>
      <c r="C12" s="22">
        <v>8</v>
      </c>
      <c r="D12" s="2">
        <v>5134500</v>
      </c>
      <c r="E12" s="4" t="s">
        <v>32</v>
      </c>
      <c r="F12" s="2">
        <v>5134500</v>
      </c>
      <c r="G12" s="30" t="e">
        <f>+#REF!*#REF!*H12</f>
        <v>#REF!</v>
      </c>
      <c r="H12" s="5">
        <v>1.63</v>
      </c>
    </row>
    <row r="13" spans="1:8" thickBot="1" x14ac:dyDescent="0.45">
      <c r="A13" s="18" t="s">
        <v>31</v>
      </c>
      <c r="B13" s="1">
        <v>1</v>
      </c>
      <c r="C13" s="22">
        <v>8</v>
      </c>
      <c r="D13" s="2">
        <v>5134500</v>
      </c>
      <c r="E13" s="4" t="s">
        <v>127</v>
      </c>
      <c r="F13" s="2">
        <v>5134500</v>
      </c>
      <c r="G13" s="30" t="e">
        <f>+#REF!*#REF!*H13</f>
        <v>#REF!</v>
      </c>
      <c r="H13" s="5">
        <v>1.63</v>
      </c>
    </row>
    <row r="14" spans="1:8" thickBot="1" x14ac:dyDescent="0.45">
      <c r="A14" s="18" t="s">
        <v>33</v>
      </c>
      <c r="B14" s="1">
        <v>1</v>
      </c>
      <c r="C14" s="22">
        <v>8</v>
      </c>
      <c r="D14" s="2">
        <v>5134500</v>
      </c>
      <c r="E14" s="4" t="s">
        <v>188</v>
      </c>
      <c r="F14" s="2">
        <v>5134500</v>
      </c>
      <c r="G14" s="30" t="e">
        <f>+#REF!*#REF!*H14</f>
        <v>#REF!</v>
      </c>
      <c r="H14" s="5">
        <v>1.63</v>
      </c>
    </row>
    <row r="15" spans="1:8" thickBot="1" x14ac:dyDescent="0.45">
      <c r="A15" s="18" t="s">
        <v>31</v>
      </c>
      <c r="B15" s="1">
        <v>1</v>
      </c>
      <c r="C15" s="22">
        <v>8</v>
      </c>
      <c r="D15" s="2">
        <v>5134500</v>
      </c>
      <c r="E15" s="4" t="s">
        <v>180</v>
      </c>
      <c r="F15" s="2">
        <v>5134500</v>
      </c>
      <c r="G15" s="30" t="e">
        <f>+#REF!*#REF!*H15</f>
        <v>#REF!</v>
      </c>
      <c r="H15" s="5">
        <v>1.63</v>
      </c>
    </row>
    <row r="16" spans="1:8" thickBot="1" x14ac:dyDescent="0.45">
      <c r="A16" s="18" t="s">
        <v>31</v>
      </c>
      <c r="B16" s="1">
        <v>1</v>
      </c>
      <c r="C16" s="22">
        <v>8</v>
      </c>
      <c r="D16" s="2">
        <v>5134500</v>
      </c>
      <c r="E16" s="4" t="s">
        <v>61</v>
      </c>
      <c r="F16" s="2">
        <v>5134500</v>
      </c>
      <c r="G16" s="30" t="e">
        <f>+#REF!*#REF!*H16</f>
        <v>#REF!</v>
      </c>
      <c r="H16" s="5">
        <v>1.63</v>
      </c>
    </row>
    <row r="17" spans="1:10" thickBot="1" x14ac:dyDescent="0.45">
      <c r="A17" s="19" t="s">
        <v>134</v>
      </c>
      <c r="B17" s="16">
        <v>1</v>
      </c>
      <c r="C17" s="31">
        <v>8</v>
      </c>
      <c r="D17" s="32">
        <v>5134500</v>
      </c>
      <c r="E17" s="4" t="s">
        <v>233</v>
      </c>
      <c r="F17" s="2">
        <v>5134500</v>
      </c>
      <c r="G17" s="30" t="e">
        <f>+#REF!*#REF!*H17</f>
        <v>#REF!</v>
      </c>
      <c r="H17" s="5">
        <v>1.63</v>
      </c>
      <c r="J17" s="30">
        <f>+D17*1.07</f>
        <v>5493915</v>
      </c>
    </row>
    <row r="18" spans="1:10" thickBot="1" x14ac:dyDescent="0.45">
      <c r="A18" s="18" t="s">
        <v>33</v>
      </c>
      <c r="B18" s="1">
        <v>1</v>
      </c>
      <c r="C18" s="22">
        <v>8</v>
      </c>
      <c r="D18" s="2">
        <v>5134500</v>
      </c>
      <c r="E18" s="4" t="s">
        <v>207</v>
      </c>
      <c r="F18" s="2">
        <v>5134500</v>
      </c>
      <c r="G18" s="30" t="e">
        <f>+#REF!*#REF!*H18</f>
        <v>#REF!</v>
      </c>
      <c r="H18" s="5">
        <v>1.63</v>
      </c>
    </row>
    <row r="19" spans="1:10" thickBot="1" x14ac:dyDescent="0.45">
      <c r="A19" s="19" t="s">
        <v>31</v>
      </c>
      <c r="B19" s="16">
        <v>1</v>
      </c>
      <c r="C19" s="1">
        <v>8</v>
      </c>
      <c r="D19" s="32">
        <v>5134500</v>
      </c>
      <c r="E19" s="4" t="s">
        <v>166</v>
      </c>
      <c r="F19" s="2">
        <v>5134500</v>
      </c>
      <c r="G19" s="30" t="e">
        <f>+#REF!*#REF!*H19</f>
        <v>#REF!</v>
      </c>
      <c r="H19" s="5">
        <v>1.63</v>
      </c>
    </row>
    <row r="20" spans="1:10" thickBot="1" x14ac:dyDescent="0.45">
      <c r="A20" s="18" t="s">
        <v>31</v>
      </c>
      <c r="B20" s="1">
        <v>1</v>
      </c>
      <c r="C20" s="22">
        <v>8</v>
      </c>
      <c r="D20" s="2">
        <v>5134500</v>
      </c>
      <c r="E20" s="4" t="s">
        <v>69</v>
      </c>
      <c r="F20" s="2">
        <v>5134500</v>
      </c>
      <c r="G20" s="30" t="e">
        <f>+#REF!*#REF!*H20</f>
        <v>#REF!</v>
      </c>
      <c r="H20" s="5">
        <v>1.63</v>
      </c>
    </row>
    <row r="21" spans="1:10" thickBot="1" x14ac:dyDescent="0.45">
      <c r="A21" s="17" t="s">
        <v>31</v>
      </c>
      <c r="B21" s="21">
        <v>1</v>
      </c>
      <c r="C21" s="23">
        <v>8</v>
      </c>
      <c r="D21" s="20">
        <v>5134500</v>
      </c>
      <c r="E21" s="4" t="s">
        <v>257</v>
      </c>
      <c r="F21" s="2">
        <v>5134500</v>
      </c>
      <c r="G21" s="30" t="e">
        <f>+#REF!*#REF!*H21</f>
        <v>#REF!</v>
      </c>
      <c r="H21" s="5">
        <v>1.63</v>
      </c>
    </row>
    <row r="22" spans="1:10" thickBot="1" x14ac:dyDescent="0.45">
      <c r="A22" s="18" t="s">
        <v>31</v>
      </c>
      <c r="B22" s="1">
        <v>1</v>
      </c>
      <c r="C22" s="22">
        <v>8</v>
      </c>
      <c r="D22" s="2">
        <v>5134500</v>
      </c>
      <c r="E22" s="4" t="s">
        <v>235</v>
      </c>
      <c r="F22" s="2">
        <v>5134500</v>
      </c>
      <c r="G22" s="30" t="e">
        <f>+#REF!*#REF!*H22</f>
        <v>#REF!</v>
      </c>
      <c r="H22" s="5">
        <v>1.63</v>
      </c>
    </row>
    <row r="23" spans="1:10" thickBot="1" x14ac:dyDescent="0.45">
      <c r="A23" s="17" t="s">
        <v>162</v>
      </c>
      <c r="B23" s="21">
        <v>1</v>
      </c>
      <c r="C23" s="23">
        <v>8</v>
      </c>
      <c r="D23" s="20">
        <v>5134500</v>
      </c>
      <c r="E23" s="4" t="s">
        <v>103</v>
      </c>
      <c r="F23" s="2">
        <v>5134500</v>
      </c>
      <c r="G23" s="30" t="e">
        <f>+#REF!*#REF!*H23</f>
        <v>#REF!</v>
      </c>
      <c r="H23" s="5">
        <v>1.63</v>
      </c>
    </row>
    <row r="24" spans="1:10" thickBot="1" x14ac:dyDescent="0.45">
      <c r="A24" s="18" t="s">
        <v>228</v>
      </c>
      <c r="B24" s="1">
        <v>1</v>
      </c>
      <c r="C24" s="22">
        <v>8</v>
      </c>
      <c r="D24" s="2">
        <v>5134500</v>
      </c>
      <c r="E24" s="4" t="s">
        <v>229</v>
      </c>
      <c r="F24" s="2">
        <v>5134500</v>
      </c>
      <c r="G24" s="30" t="e">
        <f>+#REF!*#REF!*H24</f>
        <v>#REF!</v>
      </c>
      <c r="H24" s="5">
        <v>1.63</v>
      </c>
    </row>
    <row r="25" spans="1:10" thickBot="1" x14ac:dyDescent="0.45">
      <c r="A25" s="18" t="s">
        <v>162</v>
      </c>
      <c r="B25" s="1">
        <v>1</v>
      </c>
      <c r="C25" s="22">
        <v>8</v>
      </c>
      <c r="D25" s="2">
        <v>5134500</v>
      </c>
      <c r="E25" s="4" t="s">
        <v>152</v>
      </c>
      <c r="F25" s="2">
        <v>5134500</v>
      </c>
      <c r="G25" s="30" t="e">
        <f>+#REF!*#REF!*H25</f>
        <v>#REF!</v>
      </c>
      <c r="H25" s="5">
        <v>1.63</v>
      </c>
    </row>
    <row r="26" spans="1:10" thickBot="1" x14ac:dyDescent="0.45">
      <c r="A26" s="18" t="s">
        <v>134</v>
      </c>
      <c r="B26" s="1">
        <v>1</v>
      </c>
      <c r="C26" s="22">
        <v>8</v>
      </c>
      <c r="D26" s="2">
        <v>5134500</v>
      </c>
      <c r="E26" s="4" t="s">
        <v>198</v>
      </c>
      <c r="F26" s="2">
        <v>5134500</v>
      </c>
      <c r="G26" s="30" t="e">
        <f>+#REF!*#REF!*H26</f>
        <v>#REF!</v>
      </c>
      <c r="H26" s="5">
        <v>1.63</v>
      </c>
    </row>
    <row r="27" spans="1:10" thickBot="1" x14ac:dyDescent="0.45">
      <c r="A27" s="18" t="s">
        <v>134</v>
      </c>
      <c r="B27" s="1">
        <v>1</v>
      </c>
      <c r="C27" s="22">
        <v>8</v>
      </c>
      <c r="D27" s="2">
        <v>5134500</v>
      </c>
      <c r="E27" s="4" t="s">
        <v>205</v>
      </c>
      <c r="F27" s="2">
        <v>5134500</v>
      </c>
      <c r="G27" s="30" t="e">
        <f>+#REF!*#REF!*H27</f>
        <v>#REF!</v>
      </c>
      <c r="H27" s="5">
        <v>1.63</v>
      </c>
    </row>
    <row r="28" spans="1:10" thickBot="1" x14ac:dyDescent="0.45">
      <c r="A28" s="18" t="s">
        <v>31</v>
      </c>
      <c r="B28" s="1">
        <v>1</v>
      </c>
      <c r="C28" s="22">
        <v>8</v>
      </c>
      <c r="D28" s="2">
        <v>5134500</v>
      </c>
      <c r="E28" s="4" t="s">
        <v>187</v>
      </c>
      <c r="F28" s="2">
        <v>5134500</v>
      </c>
      <c r="G28" s="30" t="e">
        <f>+#REF!*#REF!*H28</f>
        <v>#REF!</v>
      </c>
      <c r="H28" s="5">
        <v>1.63</v>
      </c>
    </row>
    <row r="29" spans="1:10" thickBot="1" x14ac:dyDescent="0.45">
      <c r="A29" s="18" t="s">
        <v>29</v>
      </c>
      <c r="B29" s="1">
        <v>1</v>
      </c>
      <c r="C29" s="22">
        <v>9</v>
      </c>
      <c r="D29" s="2">
        <v>5528300</v>
      </c>
      <c r="E29" s="4" t="s">
        <v>210</v>
      </c>
      <c r="F29" s="2">
        <v>5528300</v>
      </c>
      <c r="G29" s="30" t="e">
        <f>+#REF!*#REF!*H29</f>
        <v>#REF!</v>
      </c>
      <c r="H29" s="5">
        <v>1.7549999999999999</v>
      </c>
    </row>
    <row r="30" spans="1:10" thickBot="1" x14ac:dyDescent="0.45">
      <c r="A30" s="18" t="s">
        <v>29</v>
      </c>
      <c r="B30" s="1">
        <v>1</v>
      </c>
      <c r="C30" s="22">
        <v>9</v>
      </c>
      <c r="D30" s="2">
        <v>5528300</v>
      </c>
      <c r="E30" s="4" t="s">
        <v>30</v>
      </c>
      <c r="F30" s="2">
        <v>5528300</v>
      </c>
      <c r="G30" s="30" t="e">
        <f>+#REF!*#REF!*H30</f>
        <v>#REF!</v>
      </c>
      <c r="H30" s="5">
        <v>1.7549999999999999</v>
      </c>
    </row>
    <row r="31" spans="1:10" thickBot="1" x14ac:dyDescent="0.45">
      <c r="A31" s="18" t="s">
        <v>208</v>
      </c>
      <c r="B31" s="1">
        <v>1</v>
      </c>
      <c r="C31" s="22">
        <v>9</v>
      </c>
      <c r="D31" s="2">
        <v>5528300</v>
      </c>
      <c r="E31" s="4" t="s">
        <v>192</v>
      </c>
      <c r="F31" s="2">
        <v>5528300</v>
      </c>
      <c r="G31" s="30" t="e">
        <f>+#REF!*#REF!*H31</f>
        <v>#REF!</v>
      </c>
      <c r="H31" s="5">
        <v>1.7549999999999999</v>
      </c>
    </row>
    <row r="32" spans="1:10" thickBot="1" x14ac:dyDescent="0.45">
      <c r="A32" s="18" t="s">
        <v>29</v>
      </c>
      <c r="B32" s="1">
        <v>1</v>
      </c>
      <c r="C32" s="22">
        <v>9</v>
      </c>
      <c r="D32" s="2">
        <v>5528300</v>
      </c>
      <c r="E32" s="4" t="s">
        <v>55</v>
      </c>
      <c r="F32" s="2">
        <v>5528300</v>
      </c>
      <c r="G32" s="30" t="e">
        <f>+#REF!*#REF!*H32</f>
        <v>#REF!</v>
      </c>
      <c r="H32" s="5">
        <v>1.7549999999999999</v>
      </c>
    </row>
    <row r="33" spans="1:8" thickBot="1" x14ac:dyDescent="0.45">
      <c r="A33" s="18" t="s">
        <v>29</v>
      </c>
      <c r="B33" s="1">
        <v>1</v>
      </c>
      <c r="C33" s="22">
        <v>9</v>
      </c>
      <c r="D33" s="2">
        <v>5528300</v>
      </c>
      <c r="E33" s="4" t="s">
        <v>147</v>
      </c>
      <c r="F33" s="2">
        <v>5528300</v>
      </c>
      <c r="G33" s="30" t="e">
        <f>+#REF!*#REF!*H33</f>
        <v>#REF!</v>
      </c>
      <c r="H33" s="5">
        <v>1.7549999999999999</v>
      </c>
    </row>
    <row r="34" spans="1:8" thickBot="1" x14ac:dyDescent="0.45">
      <c r="A34" s="18" t="s">
        <v>29</v>
      </c>
      <c r="B34" s="1">
        <v>1</v>
      </c>
      <c r="C34" s="22">
        <v>9</v>
      </c>
      <c r="D34" s="2">
        <v>5528300</v>
      </c>
      <c r="E34" s="4" t="s">
        <v>150</v>
      </c>
      <c r="F34" s="2">
        <v>5528300</v>
      </c>
      <c r="G34" s="30" t="e">
        <f>+#REF!*#REF!*H34</f>
        <v>#REF!</v>
      </c>
      <c r="H34" s="5">
        <v>1.7549999999999999</v>
      </c>
    </row>
    <row r="35" spans="1:8" thickBot="1" x14ac:dyDescent="0.45">
      <c r="A35" s="18" t="s">
        <v>29</v>
      </c>
      <c r="B35" s="1">
        <v>1</v>
      </c>
      <c r="C35" s="22">
        <v>9</v>
      </c>
      <c r="D35" s="2">
        <v>5528300</v>
      </c>
      <c r="E35" s="4" t="s">
        <v>148</v>
      </c>
      <c r="F35" s="2">
        <v>5528300</v>
      </c>
      <c r="G35" s="30" t="e">
        <f>+#REF!*#REF!*H35</f>
        <v>#REF!</v>
      </c>
      <c r="H35" s="5">
        <v>1.7549999999999999</v>
      </c>
    </row>
    <row r="36" spans="1:8" thickBot="1" x14ac:dyDescent="0.45">
      <c r="A36" s="18" t="s">
        <v>29</v>
      </c>
      <c r="B36" s="1">
        <v>1</v>
      </c>
      <c r="C36" s="22">
        <v>9</v>
      </c>
      <c r="D36" s="2">
        <v>5528300</v>
      </c>
      <c r="E36" s="4" t="s">
        <v>204</v>
      </c>
      <c r="F36" s="2">
        <v>5528300</v>
      </c>
      <c r="G36" s="30" t="e">
        <f>+#REF!*#REF!*H36</f>
        <v>#REF!</v>
      </c>
      <c r="H36" s="5">
        <v>1.7549999999999999</v>
      </c>
    </row>
    <row r="37" spans="1:8" thickBot="1" x14ac:dyDescent="0.45">
      <c r="A37" s="18" t="s">
        <v>29</v>
      </c>
      <c r="B37" s="1">
        <v>1</v>
      </c>
      <c r="C37" s="22">
        <v>9</v>
      </c>
      <c r="D37" s="2">
        <v>5528300</v>
      </c>
      <c r="E37" s="4" t="s">
        <v>68</v>
      </c>
      <c r="F37" s="2">
        <v>5528300</v>
      </c>
      <c r="G37" s="30" t="e">
        <f>+#REF!*#REF!*H37</f>
        <v>#REF!</v>
      </c>
      <c r="H37" s="5">
        <v>1.7549999999999999</v>
      </c>
    </row>
    <row r="38" spans="1:8" thickBot="1" x14ac:dyDescent="0.45">
      <c r="A38" s="18" t="s">
        <v>157</v>
      </c>
      <c r="B38" s="1">
        <v>1</v>
      </c>
      <c r="C38" s="22">
        <v>9</v>
      </c>
      <c r="D38" s="2">
        <v>5528300</v>
      </c>
      <c r="E38" s="4" t="s">
        <v>97</v>
      </c>
      <c r="F38" s="2">
        <v>5528300</v>
      </c>
      <c r="G38" s="30" t="e">
        <f>+#REF!*#REF!*H38</f>
        <v>#REF!</v>
      </c>
      <c r="H38" s="5">
        <v>1.7549999999999999</v>
      </c>
    </row>
    <row r="39" spans="1:8" thickBot="1" x14ac:dyDescent="0.45">
      <c r="A39" s="18" t="s">
        <v>158</v>
      </c>
      <c r="B39" s="1">
        <v>1</v>
      </c>
      <c r="C39" s="22">
        <v>9</v>
      </c>
      <c r="D39" s="2">
        <v>5528300</v>
      </c>
      <c r="E39" s="4" t="s">
        <v>98</v>
      </c>
      <c r="F39" s="2">
        <v>5528300</v>
      </c>
      <c r="G39" s="30" t="e">
        <f>+#REF!*#REF!*H39</f>
        <v>#REF!</v>
      </c>
      <c r="H39" s="5">
        <v>1.7549999999999999</v>
      </c>
    </row>
    <row r="40" spans="1:8" thickBot="1" x14ac:dyDescent="0.45">
      <c r="A40" s="18" t="s">
        <v>159</v>
      </c>
      <c r="B40" s="1">
        <v>1</v>
      </c>
      <c r="C40" s="22">
        <v>9</v>
      </c>
      <c r="D40" s="2">
        <v>5528300</v>
      </c>
      <c r="E40" s="4" t="s">
        <v>99</v>
      </c>
      <c r="F40" s="2">
        <v>5528300</v>
      </c>
      <c r="G40" s="30" t="e">
        <f>+#REF!*#REF!*H40</f>
        <v>#REF!</v>
      </c>
      <c r="H40" s="5">
        <v>1.7549999999999999</v>
      </c>
    </row>
    <row r="41" spans="1:8" thickBot="1" x14ac:dyDescent="0.45">
      <c r="A41" s="18" t="s">
        <v>160</v>
      </c>
      <c r="B41" s="1">
        <v>1</v>
      </c>
      <c r="C41" s="22">
        <v>9</v>
      </c>
      <c r="D41" s="2">
        <v>5528300</v>
      </c>
      <c r="E41" s="4" t="s">
        <v>100</v>
      </c>
      <c r="F41" s="2">
        <v>5528300</v>
      </c>
      <c r="G41" s="30" t="e">
        <f>+#REF!*#REF!*H41</f>
        <v>#REF!</v>
      </c>
      <c r="H41" s="5">
        <v>1.7549999999999999</v>
      </c>
    </row>
    <row r="42" spans="1:8" thickBot="1" x14ac:dyDescent="0.45">
      <c r="A42" s="18" t="s">
        <v>161</v>
      </c>
      <c r="B42" s="1">
        <v>1</v>
      </c>
      <c r="C42" s="22">
        <v>9</v>
      </c>
      <c r="D42" s="2">
        <v>5528300</v>
      </c>
      <c r="E42" s="4" t="s">
        <v>102</v>
      </c>
      <c r="F42" s="2">
        <v>5528300</v>
      </c>
      <c r="G42" s="30" t="e">
        <f>+#REF!*#REF!*H42</f>
        <v>#REF!</v>
      </c>
      <c r="H42" s="5">
        <v>1.7549999999999999</v>
      </c>
    </row>
    <row r="43" spans="1:8" thickBot="1" x14ac:dyDescent="0.45">
      <c r="A43" s="18" t="s">
        <v>195</v>
      </c>
      <c r="B43" s="1">
        <v>1</v>
      </c>
      <c r="C43" s="22">
        <v>9</v>
      </c>
      <c r="D43" s="2">
        <v>5528300</v>
      </c>
      <c r="E43" s="4" t="s">
        <v>105</v>
      </c>
      <c r="F43" s="2">
        <v>5528300</v>
      </c>
      <c r="G43" s="30" t="e">
        <f>+#REF!*#REF!*H43</f>
        <v>#REF!</v>
      </c>
      <c r="H43" s="5">
        <v>1.7549999999999999</v>
      </c>
    </row>
    <row r="44" spans="1:8" thickBot="1" x14ac:dyDescent="0.45">
      <c r="A44" s="18" t="s">
        <v>196</v>
      </c>
      <c r="B44" s="1">
        <v>1</v>
      </c>
      <c r="C44" s="22">
        <v>9</v>
      </c>
      <c r="D44" s="2">
        <v>5528300</v>
      </c>
      <c r="E44" s="4" t="s">
        <v>104</v>
      </c>
      <c r="F44" s="2">
        <v>5528300</v>
      </c>
      <c r="G44" s="30" t="e">
        <f>+#REF!*#REF!*H44</f>
        <v>#REF!</v>
      </c>
      <c r="H44" s="5">
        <v>1.7549999999999999</v>
      </c>
    </row>
    <row r="45" spans="1:8" thickBot="1" x14ac:dyDescent="0.45">
      <c r="A45" s="18" t="s">
        <v>29</v>
      </c>
      <c r="B45" s="1">
        <v>1</v>
      </c>
      <c r="C45" s="22">
        <v>9</v>
      </c>
      <c r="D45" s="2">
        <v>5528300</v>
      </c>
      <c r="E45" s="4" t="s">
        <v>199</v>
      </c>
      <c r="F45" s="2">
        <v>5528300</v>
      </c>
      <c r="G45" s="30" t="e">
        <f>+#REF!*#REF!*H45</f>
        <v>#REF!</v>
      </c>
      <c r="H45" s="5">
        <v>1.7549999999999999</v>
      </c>
    </row>
    <row r="46" spans="1:8" thickBot="1" x14ac:dyDescent="0.45">
      <c r="A46" s="18" t="s">
        <v>197</v>
      </c>
      <c r="B46" s="1">
        <v>1</v>
      </c>
      <c r="C46" s="22">
        <v>9</v>
      </c>
      <c r="D46" s="2">
        <v>5528300</v>
      </c>
      <c r="E46" s="4" t="s">
        <v>119</v>
      </c>
      <c r="F46" s="2">
        <v>5528300</v>
      </c>
      <c r="G46" s="30" t="e">
        <f>+#REF!*#REF!*H46</f>
        <v>#REF!</v>
      </c>
      <c r="H46" s="5">
        <v>1.7549999999999999</v>
      </c>
    </row>
    <row r="47" spans="1:8" thickBot="1" x14ac:dyDescent="0.45">
      <c r="A47" s="18" t="s">
        <v>197</v>
      </c>
      <c r="B47" s="1">
        <v>1</v>
      </c>
      <c r="C47" s="22">
        <v>9</v>
      </c>
      <c r="D47" s="2">
        <v>5528300</v>
      </c>
      <c r="E47" s="4" t="s">
        <v>171</v>
      </c>
      <c r="F47" s="2">
        <v>5528300</v>
      </c>
      <c r="G47" s="30" t="e">
        <f>+#REF!*#REF!*H47</f>
        <v>#REF!</v>
      </c>
      <c r="H47" s="5">
        <v>1.7549999999999999</v>
      </c>
    </row>
    <row r="48" spans="1:8" thickBot="1" x14ac:dyDescent="0.45">
      <c r="A48" s="18" t="s">
        <v>197</v>
      </c>
      <c r="B48" s="1">
        <v>1</v>
      </c>
      <c r="C48" s="22">
        <v>9</v>
      </c>
      <c r="D48" s="2">
        <v>5528300</v>
      </c>
      <c r="E48" s="4" t="s">
        <v>164</v>
      </c>
      <c r="F48" s="2">
        <v>5528300</v>
      </c>
      <c r="G48" s="30" t="e">
        <f>+#REF!*#REF!*H48</f>
        <v>#REF!</v>
      </c>
      <c r="H48" s="5">
        <v>1.7549999999999999</v>
      </c>
    </row>
    <row r="49" spans="1:8" thickBot="1" x14ac:dyDescent="0.45">
      <c r="A49" s="18" t="s">
        <v>197</v>
      </c>
      <c r="B49" s="1">
        <v>1</v>
      </c>
      <c r="C49" s="22">
        <v>9</v>
      </c>
      <c r="D49" s="2">
        <v>5528300</v>
      </c>
      <c r="E49" s="4" t="s">
        <v>203</v>
      </c>
      <c r="F49" s="2">
        <v>5528300</v>
      </c>
      <c r="G49" s="30" t="e">
        <f>+#REF!*#REF!*H49</f>
        <v>#REF!</v>
      </c>
      <c r="H49" s="5">
        <v>1.7549999999999999</v>
      </c>
    </row>
    <row r="50" spans="1:8" thickBot="1" x14ac:dyDescent="0.45">
      <c r="A50" s="18" t="s">
        <v>29</v>
      </c>
      <c r="B50" s="1">
        <v>1</v>
      </c>
      <c r="C50" s="22">
        <v>9</v>
      </c>
      <c r="D50" s="2">
        <v>5528300</v>
      </c>
      <c r="E50" s="4" t="s">
        <v>149</v>
      </c>
      <c r="F50" s="2">
        <v>5528300</v>
      </c>
      <c r="G50" s="30" t="e">
        <f>+#REF!*#REF!*H50</f>
        <v>#REF!</v>
      </c>
      <c r="H50" s="5">
        <v>1.7549999999999999</v>
      </c>
    </row>
    <row r="51" spans="1:8" thickBot="1" x14ac:dyDescent="0.45">
      <c r="A51" s="18" t="s">
        <v>131</v>
      </c>
      <c r="B51" s="1">
        <v>1</v>
      </c>
      <c r="C51" s="22">
        <v>10</v>
      </c>
      <c r="D51" s="2">
        <v>5931500</v>
      </c>
      <c r="E51" s="4" t="s">
        <v>206</v>
      </c>
      <c r="F51" s="2">
        <v>5931500</v>
      </c>
      <c r="G51" s="30" t="e">
        <f>+#REF!*#REF!*H51</f>
        <v>#REF!</v>
      </c>
      <c r="H51" s="5">
        <v>1.883</v>
      </c>
    </row>
    <row r="52" spans="1:8" thickBot="1" x14ac:dyDescent="0.45">
      <c r="A52" s="18" t="s">
        <v>24</v>
      </c>
      <c r="B52" s="1">
        <v>1</v>
      </c>
      <c r="C52" s="22">
        <v>10</v>
      </c>
      <c r="D52" s="2">
        <v>5931500</v>
      </c>
      <c r="E52" s="4" t="s">
        <v>28</v>
      </c>
      <c r="F52" s="2">
        <v>5931500</v>
      </c>
      <c r="G52" s="30" t="e">
        <f>+#REF!*#REF!*H52</f>
        <v>#REF!</v>
      </c>
      <c r="H52" s="5">
        <v>1.883</v>
      </c>
    </row>
    <row r="53" spans="1:8" thickBot="1" x14ac:dyDescent="0.45">
      <c r="A53" s="18" t="s">
        <v>139</v>
      </c>
      <c r="B53" s="1">
        <v>1</v>
      </c>
      <c r="C53" s="22">
        <v>10</v>
      </c>
      <c r="D53" s="2">
        <v>5931500</v>
      </c>
      <c r="E53" s="4" t="s">
        <v>39</v>
      </c>
      <c r="F53" s="2">
        <v>5931500</v>
      </c>
      <c r="G53" s="30" t="e">
        <f>+#REF!*#REF!*H53</f>
        <v>#REF!</v>
      </c>
      <c r="H53" s="5">
        <v>1.883</v>
      </c>
    </row>
    <row r="54" spans="1:8" thickBot="1" x14ac:dyDescent="0.45">
      <c r="A54" s="18" t="s">
        <v>140</v>
      </c>
      <c r="B54" s="1">
        <v>1</v>
      </c>
      <c r="C54" s="22">
        <v>10</v>
      </c>
      <c r="D54" s="2">
        <v>5931500</v>
      </c>
      <c r="E54" s="4" t="s">
        <v>40</v>
      </c>
      <c r="F54" s="2">
        <v>5931500</v>
      </c>
      <c r="G54" s="30" t="e">
        <f>+#REF!*#REF!*H54</f>
        <v>#REF!</v>
      </c>
      <c r="H54" s="5">
        <v>1.883</v>
      </c>
    </row>
    <row r="55" spans="1:8" thickBot="1" x14ac:dyDescent="0.45">
      <c r="A55" s="18" t="s">
        <v>141</v>
      </c>
      <c r="B55" s="1">
        <v>1</v>
      </c>
      <c r="C55" s="22">
        <v>10</v>
      </c>
      <c r="D55" s="2">
        <v>5931500</v>
      </c>
      <c r="E55" s="4" t="s">
        <v>41</v>
      </c>
      <c r="F55" s="2">
        <v>5931500</v>
      </c>
      <c r="G55" s="30" t="e">
        <f>+#REF!*#REF!*H55</f>
        <v>#REF!</v>
      </c>
      <c r="H55" s="5">
        <v>1.883</v>
      </c>
    </row>
    <row r="56" spans="1:8" thickBot="1" x14ac:dyDescent="0.45">
      <c r="A56" s="18" t="s">
        <v>142</v>
      </c>
      <c r="B56" s="1">
        <v>1</v>
      </c>
      <c r="C56" s="22">
        <v>10</v>
      </c>
      <c r="D56" s="2">
        <v>5931500</v>
      </c>
      <c r="E56" s="4" t="s">
        <v>254</v>
      </c>
      <c r="F56" s="2">
        <v>5931500</v>
      </c>
      <c r="G56" s="30" t="e">
        <f>+#REF!*#REF!*H56</f>
        <v>#REF!</v>
      </c>
      <c r="H56" s="5">
        <v>1.883</v>
      </c>
    </row>
    <row r="57" spans="1:8" thickBot="1" x14ac:dyDescent="0.45">
      <c r="A57" s="18" t="s">
        <v>143</v>
      </c>
      <c r="B57" s="1">
        <v>1</v>
      </c>
      <c r="C57" s="22">
        <v>10</v>
      </c>
      <c r="D57" s="2">
        <v>5931500</v>
      </c>
      <c r="E57" s="4" t="s">
        <v>42</v>
      </c>
      <c r="F57" s="2">
        <v>5931500</v>
      </c>
      <c r="G57" s="30" t="e">
        <f>+#REF!*#REF!*H57</f>
        <v>#REF!</v>
      </c>
      <c r="H57" s="5">
        <v>1.883</v>
      </c>
    </row>
    <row r="58" spans="1:8" thickBot="1" x14ac:dyDescent="0.45">
      <c r="A58" s="18" t="s">
        <v>144</v>
      </c>
      <c r="B58" s="1">
        <v>1</v>
      </c>
      <c r="C58" s="22">
        <v>10</v>
      </c>
      <c r="D58" s="2">
        <v>5931500</v>
      </c>
      <c r="E58" s="4" t="s">
        <v>43</v>
      </c>
      <c r="F58" s="2">
        <v>5931500</v>
      </c>
      <c r="G58" s="30" t="e">
        <f>+#REF!*#REF!*H58</f>
        <v>#REF!</v>
      </c>
      <c r="H58" s="5">
        <v>1.883</v>
      </c>
    </row>
    <row r="59" spans="1:8" thickBot="1" x14ac:dyDescent="0.45">
      <c r="A59" s="18" t="s">
        <v>145</v>
      </c>
      <c r="B59" s="1">
        <v>1</v>
      </c>
      <c r="C59" s="22">
        <v>10</v>
      </c>
      <c r="D59" s="2">
        <v>5931500</v>
      </c>
      <c r="E59" s="4" t="s">
        <v>44</v>
      </c>
      <c r="F59" s="2">
        <v>5931500</v>
      </c>
      <c r="G59" s="30" t="e">
        <f>+#REF!*#REF!*H59</f>
        <v>#REF!</v>
      </c>
      <c r="H59" s="5">
        <v>1.883</v>
      </c>
    </row>
    <row r="60" spans="1:8" thickBot="1" x14ac:dyDescent="0.45">
      <c r="A60" s="18" t="s">
        <v>146</v>
      </c>
      <c r="B60" s="1">
        <v>1</v>
      </c>
      <c r="C60" s="22">
        <v>10</v>
      </c>
      <c r="D60" s="2">
        <v>5931500</v>
      </c>
      <c r="E60" s="4" t="s">
        <v>45</v>
      </c>
      <c r="F60" s="2">
        <v>5931500</v>
      </c>
      <c r="G60" s="30" t="e">
        <f>+#REF!*#REF!*H60</f>
        <v>#REF!</v>
      </c>
      <c r="H60" s="5">
        <v>1.883</v>
      </c>
    </row>
    <row r="61" spans="1:8" thickBot="1" x14ac:dyDescent="0.45">
      <c r="A61" s="18" t="s">
        <v>140</v>
      </c>
      <c r="B61" s="1">
        <v>1</v>
      </c>
      <c r="C61" s="22">
        <v>10</v>
      </c>
      <c r="D61" s="2">
        <v>5931500</v>
      </c>
      <c r="E61" s="4" t="s">
        <v>46</v>
      </c>
      <c r="F61" s="2">
        <v>5931500</v>
      </c>
      <c r="G61" s="30" t="e">
        <f>+#REF!*#REF!*H61</f>
        <v>#REF!</v>
      </c>
      <c r="H61" s="5">
        <v>1.883</v>
      </c>
    </row>
    <row r="62" spans="1:8" ht="21" customHeight="1" thickBot="1" x14ac:dyDescent="0.45">
      <c r="A62" s="18" t="s">
        <v>24</v>
      </c>
      <c r="B62" s="1">
        <v>1</v>
      </c>
      <c r="C62" s="22">
        <v>10</v>
      </c>
      <c r="D62" s="2">
        <v>5931500</v>
      </c>
      <c r="E62" s="4" t="s">
        <v>54</v>
      </c>
      <c r="F62" s="2">
        <v>5931500</v>
      </c>
      <c r="G62" s="30" t="e">
        <f>+#REF!*#REF!*H62</f>
        <v>#REF!</v>
      </c>
      <c r="H62" s="5">
        <v>1.883</v>
      </c>
    </row>
    <row r="63" spans="1:8" thickBot="1" x14ac:dyDescent="0.45">
      <c r="A63" s="18" t="s">
        <v>24</v>
      </c>
      <c r="B63" s="1">
        <v>1</v>
      </c>
      <c r="C63" s="22">
        <v>10</v>
      </c>
      <c r="D63" s="2">
        <v>5931500</v>
      </c>
      <c r="E63" s="4" t="s">
        <v>60</v>
      </c>
      <c r="F63" s="2">
        <v>5931500</v>
      </c>
      <c r="G63" s="30" t="e">
        <f>+#REF!*#REF!*H63</f>
        <v>#REF!</v>
      </c>
      <c r="H63" s="5">
        <v>1.883</v>
      </c>
    </row>
    <row r="64" spans="1:8" thickBot="1" x14ac:dyDescent="0.45">
      <c r="A64" s="18" t="s">
        <v>24</v>
      </c>
      <c r="B64" s="1">
        <v>1</v>
      </c>
      <c r="C64" s="22">
        <v>10</v>
      </c>
      <c r="D64" s="2">
        <v>5931500</v>
      </c>
      <c r="E64" s="4" t="s">
        <v>178</v>
      </c>
      <c r="F64" s="2">
        <v>5931500</v>
      </c>
      <c r="G64" s="30" t="e">
        <f>+#REF!*#REF!*H64</f>
        <v>#REF!</v>
      </c>
      <c r="H64" s="5">
        <v>1.883</v>
      </c>
    </row>
    <row r="65" spans="1:8" thickBot="1" x14ac:dyDescent="0.45">
      <c r="A65" s="18" t="s">
        <v>142</v>
      </c>
      <c r="B65" s="1">
        <v>1</v>
      </c>
      <c r="C65" s="22">
        <v>10</v>
      </c>
      <c r="D65" s="2">
        <v>5931500</v>
      </c>
      <c r="E65" s="4" t="s">
        <v>86</v>
      </c>
      <c r="F65" s="2">
        <v>5931500</v>
      </c>
      <c r="G65" s="30" t="e">
        <f>+#REF!*#REF!*H65</f>
        <v>#REF!</v>
      </c>
      <c r="H65" s="5">
        <v>1.883</v>
      </c>
    </row>
    <row r="66" spans="1:8" thickBot="1" x14ac:dyDescent="0.45">
      <c r="A66" s="18" t="s">
        <v>154</v>
      </c>
      <c r="B66" s="1">
        <v>1</v>
      </c>
      <c r="C66" s="22">
        <v>10</v>
      </c>
      <c r="D66" s="2">
        <v>5931500</v>
      </c>
      <c r="E66" s="4" t="s">
        <v>87</v>
      </c>
      <c r="F66" s="2">
        <v>5931500</v>
      </c>
      <c r="G66" s="30" t="e">
        <f>+#REF!*#REF!*H66</f>
        <v>#REF!</v>
      </c>
      <c r="H66" s="5">
        <v>1.883</v>
      </c>
    </row>
    <row r="67" spans="1:8" thickBot="1" x14ac:dyDescent="0.45">
      <c r="A67" s="18" t="s">
        <v>145</v>
      </c>
      <c r="B67" s="1">
        <v>1</v>
      </c>
      <c r="C67" s="22">
        <v>10</v>
      </c>
      <c r="D67" s="2">
        <v>5931500</v>
      </c>
      <c r="E67" s="4" t="s">
        <v>88</v>
      </c>
      <c r="F67" s="2">
        <v>5931500</v>
      </c>
      <c r="G67" s="30" t="e">
        <f>+#REF!*#REF!*H67</f>
        <v>#REF!</v>
      </c>
      <c r="H67" s="5">
        <v>1.883</v>
      </c>
    </row>
    <row r="68" spans="1:8" thickBot="1" x14ac:dyDescent="0.45">
      <c r="A68" s="18" t="s">
        <v>141</v>
      </c>
      <c r="B68" s="1">
        <v>1</v>
      </c>
      <c r="C68" s="22">
        <v>10</v>
      </c>
      <c r="D68" s="2">
        <v>5931500</v>
      </c>
      <c r="E68" s="4" t="s">
        <v>89</v>
      </c>
      <c r="F68" s="2">
        <v>5931500</v>
      </c>
      <c r="G68" s="30" t="e">
        <f>+#REF!*#REF!*H68</f>
        <v>#REF!</v>
      </c>
      <c r="H68" s="5">
        <v>1.883</v>
      </c>
    </row>
    <row r="69" spans="1:8" thickBot="1" x14ac:dyDescent="0.45">
      <c r="A69" s="17" t="s">
        <v>144</v>
      </c>
      <c r="B69" s="21">
        <v>1</v>
      </c>
      <c r="C69" s="23">
        <v>10</v>
      </c>
      <c r="D69" s="20">
        <v>5931500</v>
      </c>
      <c r="E69" s="4" t="s">
        <v>90</v>
      </c>
      <c r="F69" s="2">
        <v>5931500</v>
      </c>
      <c r="G69" s="30" t="e">
        <f>+#REF!*#REF!*H69</f>
        <v>#REF!</v>
      </c>
      <c r="H69" s="5">
        <v>1.883</v>
      </c>
    </row>
    <row r="70" spans="1:8" thickBot="1" x14ac:dyDescent="0.45">
      <c r="A70" s="18" t="s">
        <v>143</v>
      </c>
      <c r="B70" s="1">
        <v>1</v>
      </c>
      <c r="C70" s="22">
        <v>10</v>
      </c>
      <c r="D70" s="2">
        <v>5931500</v>
      </c>
      <c r="E70" s="4" t="s">
        <v>91</v>
      </c>
      <c r="F70" s="2">
        <v>5931500</v>
      </c>
      <c r="G70" s="30" t="e">
        <f>+#REF!*#REF!*H70</f>
        <v>#REF!</v>
      </c>
      <c r="H70" s="5">
        <v>1.883</v>
      </c>
    </row>
    <row r="71" spans="1:8" thickBot="1" x14ac:dyDescent="0.45">
      <c r="A71" s="18" t="s">
        <v>146</v>
      </c>
      <c r="B71" s="1">
        <v>1</v>
      </c>
      <c r="C71" s="22">
        <v>10</v>
      </c>
      <c r="D71" s="2">
        <v>5931500</v>
      </c>
      <c r="E71" s="4" t="s">
        <v>92</v>
      </c>
      <c r="F71" s="2">
        <v>5931500</v>
      </c>
      <c r="G71" s="30" t="e">
        <f>+#REF!*#REF!*H71</f>
        <v>#REF!</v>
      </c>
      <c r="H71" s="5">
        <v>1.883</v>
      </c>
    </row>
    <row r="72" spans="1:8" thickBot="1" x14ac:dyDescent="0.45">
      <c r="A72" s="18" t="s">
        <v>155</v>
      </c>
      <c r="B72" s="1">
        <v>1</v>
      </c>
      <c r="C72" s="22">
        <v>10</v>
      </c>
      <c r="D72" s="2">
        <v>5931500</v>
      </c>
      <c r="E72" s="4" t="s">
        <v>93</v>
      </c>
      <c r="F72" s="2">
        <v>5931500</v>
      </c>
      <c r="G72" s="30" t="e">
        <f>+#REF!*#REF!*H72</f>
        <v>#REF!</v>
      </c>
      <c r="H72" s="5">
        <v>1.883</v>
      </c>
    </row>
    <row r="73" spans="1:8" thickBot="1" x14ac:dyDescent="0.45">
      <c r="A73" s="18" t="s">
        <v>140</v>
      </c>
      <c r="B73" s="1">
        <v>1</v>
      </c>
      <c r="C73" s="22">
        <v>10</v>
      </c>
      <c r="D73" s="2">
        <v>5931500</v>
      </c>
      <c r="E73" s="4" t="s">
        <v>94</v>
      </c>
      <c r="F73" s="2">
        <v>5931500</v>
      </c>
      <c r="G73" s="30" t="e">
        <f>+#REF!*#REF!*H73</f>
        <v>#REF!</v>
      </c>
      <c r="H73" s="5">
        <v>1.883</v>
      </c>
    </row>
    <row r="74" spans="1:8" thickBot="1" x14ac:dyDescent="0.45">
      <c r="A74" s="18" t="s">
        <v>146</v>
      </c>
      <c r="B74" s="1">
        <v>1</v>
      </c>
      <c r="C74" s="22">
        <v>10</v>
      </c>
      <c r="D74" s="2">
        <v>5931500</v>
      </c>
      <c r="E74" s="4" t="s">
        <v>96</v>
      </c>
      <c r="F74" s="2">
        <v>5931500</v>
      </c>
      <c r="G74" s="30" t="e">
        <f>+#REF!*#REF!*H74</f>
        <v>#REF!</v>
      </c>
      <c r="H74" s="5">
        <v>1.883</v>
      </c>
    </row>
    <row r="75" spans="1:8" thickBot="1" x14ac:dyDescent="0.45">
      <c r="A75" s="18" t="s">
        <v>156</v>
      </c>
      <c r="B75" s="1">
        <v>1</v>
      </c>
      <c r="C75" s="22">
        <v>10</v>
      </c>
      <c r="D75" s="2">
        <v>5931500</v>
      </c>
      <c r="E75" s="4" t="s">
        <v>123</v>
      </c>
      <c r="F75" s="2">
        <v>5931500</v>
      </c>
      <c r="G75" s="30" t="e">
        <f>+#REF!*#REF!*H75</f>
        <v>#REF!</v>
      </c>
      <c r="H75" s="5">
        <v>1.883</v>
      </c>
    </row>
    <row r="76" spans="1:8" thickBot="1" x14ac:dyDescent="0.45">
      <c r="A76" s="18" t="s">
        <v>200</v>
      </c>
      <c r="B76" s="1">
        <v>1</v>
      </c>
      <c r="C76" s="22">
        <v>10</v>
      </c>
      <c r="D76" s="2">
        <v>5931500</v>
      </c>
      <c r="E76" s="4" t="s">
        <v>101</v>
      </c>
      <c r="F76" s="2">
        <v>5931500</v>
      </c>
      <c r="G76" s="30" t="e">
        <f>+#REF!*#REF!*H76</f>
        <v>#REF!</v>
      </c>
      <c r="H76" s="5">
        <v>1.883</v>
      </c>
    </row>
    <row r="77" spans="1:8" thickBot="1" x14ac:dyDescent="0.45">
      <c r="A77" s="18" t="s">
        <v>24</v>
      </c>
      <c r="B77" s="1">
        <v>1</v>
      </c>
      <c r="C77" s="22">
        <v>10</v>
      </c>
      <c r="D77" s="2">
        <v>5931500</v>
      </c>
      <c r="E77" s="4" t="s">
        <v>113</v>
      </c>
      <c r="F77" s="2">
        <v>5931500</v>
      </c>
      <c r="G77" s="30" t="e">
        <f>+#REF!*#REF!*H77</f>
        <v>#REF!</v>
      </c>
      <c r="H77" s="5">
        <v>1.883</v>
      </c>
    </row>
    <row r="78" spans="1:8" thickBot="1" x14ac:dyDescent="0.45">
      <c r="A78" s="18" t="s">
        <v>131</v>
      </c>
      <c r="B78" s="1">
        <v>1</v>
      </c>
      <c r="C78" s="22">
        <v>10</v>
      </c>
      <c r="D78" s="2">
        <v>5931500</v>
      </c>
      <c r="E78" s="4" t="s">
        <v>189</v>
      </c>
      <c r="F78" s="2">
        <v>5931500</v>
      </c>
      <c r="G78" s="30" t="e">
        <f>+#REF!*#REF!*H78</f>
        <v>#REF!</v>
      </c>
      <c r="H78" s="5">
        <v>1.883</v>
      </c>
    </row>
    <row r="79" spans="1:8" thickBot="1" x14ac:dyDescent="0.45">
      <c r="A79" s="18" t="s">
        <v>212</v>
      </c>
      <c r="B79" s="1">
        <v>1</v>
      </c>
      <c r="C79" s="22">
        <v>11</v>
      </c>
      <c r="D79" s="2">
        <v>6344100</v>
      </c>
      <c r="E79" s="4" t="s">
        <v>242</v>
      </c>
      <c r="F79" s="2">
        <v>6344100</v>
      </c>
      <c r="G79" s="30" t="e">
        <f>+#REF!*#REF!*H79</f>
        <v>#REF!</v>
      </c>
      <c r="H79" s="5">
        <v>2.0139999999999998</v>
      </c>
    </row>
    <row r="80" spans="1:8" thickBot="1" x14ac:dyDescent="0.45">
      <c r="A80" s="18" t="s">
        <v>213</v>
      </c>
      <c r="B80" s="1">
        <v>1</v>
      </c>
      <c r="C80" s="22">
        <v>11</v>
      </c>
      <c r="D80" s="2">
        <v>6344100</v>
      </c>
      <c r="E80" s="4" t="s">
        <v>181</v>
      </c>
      <c r="F80" s="2">
        <v>6344100</v>
      </c>
      <c r="G80" s="30" t="e">
        <f>+#REF!*#REF!*H80</f>
        <v>#REF!</v>
      </c>
      <c r="H80" s="5">
        <v>2.0139999999999998</v>
      </c>
    </row>
    <row r="81" spans="1:8" ht="23.25" customHeight="1" thickBot="1" x14ac:dyDescent="0.45">
      <c r="A81" s="19" t="s">
        <v>23</v>
      </c>
      <c r="B81" s="16">
        <v>1</v>
      </c>
      <c r="C81" s="22">
        <v>12</v>
      </c>
      <c r="D81" s="32">
        <v>6766200</v>
      </c>
      <c r="E81" s="4" t="s">
        <v>11</v>
      </c>
      <c r="F81" s="2">
        <v>6344100</v>
      </c>
      <c r="G81" s="30" t="e">
        <f>+#REF!*#REF!*H81</f>
        <v>#REF!</v>
      </c>
      <c r="H81" s="5">
        <v>2.0139999999999998</v>
      </c>
    </row>
    <row r="82" spans="1:8" thickBot="1" x14ac:dyDescent="0.45">
      <c r="A82" s="18" t="s">
        <v>23</v>
      </c>
      <c r="B82" s="1">
        <v>1</v>
      </c>
      <c r="C82" s="22">
        <v>12</v>
      </c>
      <c r="D82" s="2">
        <v>6766200</v>
      </c>
      <c r="E82" s="4" t="s">
        <v>12</v>
      </c>
      <c r="F82" s="2">
        <v>6344100</v>
      </c>
      <c r="G82" s="30" t="e">
        <f>+#REF!*#REF!*H82</f>
        <v>#REF!</v>
      </c>
      <c r="H82" s="5">
        <v>2.0139999999999998</v>
      </c>
    </row>
    <row r="83" spans="1:8" thickBot="1" x14ac:dyDescent="0.45">
      <c r="A83" s="17" t="s">
        <v>52</v>
      </c>
      <c r="B83" s="21">
        <v>1</v>
      </c>
      <c r="C83" s="23">
        <v>11</v>
      </c>
      <c r="D83" s="20">
        <v>6344100</v>
      </c>
      <c r="E83" s="4" t="s">
        <v>19</v>
      </c>
      <c r="F83" s="2">
        <v>6344100</v>
      </c>
      <c r="G83" s="30" t="e">
        <f>+#REF!*#REF!*H83</f>
        <v>#REF!</v>
      </c>
      <c r="H83" s="5">
        <v>2.0139999999999998</v>
      </c>
    </row>
    <row r="84" spans="1:8" thickBot="1" x14ac:dyDescent="0.45">
      <c r="A84" s="18" t="s">
        <v>52</v>
      </c>
      <c r="B84" s="1">
        <v>1</v>
      </c>
      <c r="C84" s="22">
        <v>11</v>
      </c>
      <c r="D84" s="2">
        <v>6344100</v>
      </c>
      <c r="E84" s="4" t="s">
        <v>250</v>
      </c>
      <c r="F84" s="2">
        <v>6344100</v>
      </c>
      <c r="G84" s="30" t="e">
        <f>+#REF!*#REF!*H84</f>
        <v>#REF!</v>
      </c>
      <c r="H84" s="5">
        <v>2.0139999999999998</v>
      </c>
    </row>
    <row r="85" spans="1:8" thickBot="1" x14ac:dyDescent="0.45">
      <c r="A85" s="18" t="s">
        <v>52</v>
      </c>
      <c r="B85" s="1">
        <v>1</v>
      </c>
      <c r="C85" s="22">
        <v>11</v>
      </c>
      <c r="D85" s="2">
        <v>6344100</v>
      </c>
      <c r="E85" s="4" t="s">
        <v>176</v>
      </c>
      <c r="F85" s="2">
        <v>6344100</v>
      </c>
      <c r="G85" s="30" t="e">
        <f>+#REF!*#REF!*H85</f>
        <v>#REF!</v>
      </c>
      <c r="H85" s="5">
        <v>2.0139999999999998</v>
      </c>
    </row>
    <row r="86" spans="1:8" thickBot="1" x14ac:dyDescent="0.45">
      <c r="A86" s="18" t="s">
        <v>52</v>
      </c>
      <c r="B86" s="1">
        <v>1</v>
      </c>
      <c r="C86" s="22">
        <v>11</v>
      </c>
      <c r="D86" s="2">
        <v>6344100</v>
      </c>
      <c r="E86" s="4" t="s">
        <v>256</v>
      </c>
      <c r="F86" s="2">
        <v>6344100</v>
      </c>
      <c r="G86" s="30" t="e">
        <f>+#REF!*#REF!*H86</f>
        <v>#REF!</v>
      </c>
      <c r="H86" s="5">
        <v>2.0139999999999998</v>
      </c>
    </row>
    <row r="87" spans="1:8" thickBot="1" x14ac:dyDescent="0.45">
      <c r="A87" s="18" t="s">
        <v>238</v>
      </c>
      <c r="B87" s="1">
        <v>1</v>
      </c>
      <c r="C87" s="22">
        <v>11</v>
      </c>
      <c r="D87" s="2">
        <v>6344100</v>
      </c>
      <c r="E87" s="4" t="s">
        <v>246</v>
      </c>
      <c r="F87" s="2">
        <v>6344100</v>
      </c>
      <c r="G87" s="30" t="e">
        <f>+#REF!*#REF!*H87</f>
        <v>#REF!</v>
      </c>
      <c r="H87" s="5">
        <v>2.0139999999999998</v>
      </c>
    </row>
    <row r="88" spans="1:8" thickBot="1" x14ac:dyDescent="0.45">
      <c r="A88" s="18" t="s">
        <v>137</v>
      </c>
      <c r="B88" s="1">
        <v>1</v>
      </c>
      <c r="C88" s="22">
        <v>11</v>
      </c>
      <c r="D88" s="2">
        <v>6344100</v>
      </c>
      <c r="E88" s="4" t="s">
        <v>36</v>
      </c>
      <c r="F88" s="2">
        <v>6344100</v>
      </c>
      <c r="G88" s="30" t="e">
        <f>+#REF!*#REF!*H88</f>
        <v>#REF!</v>
      </c>
      <c r="H88" s="5">
        <v>2.0139999999999998</v>
      </c>
    </row>
    <row r="89" spans="1:8" thickBot="1" x14ac:dyDescent="0.45">
      <c r="A89" s="18" t="s">
        <v>138</v>
      </c>
      <c r="B89" s="1">
        <v>1</v>
      </c>
      <c r="C89" s="22">
        <v>11</v>
      </c>
      <c r="D89" s="2">
        <v>6344100</v>
      </c>
      <c r="E89" s="4" t="s">
        <v>38</v>
      </c>
      <c r="F89" s="2">
        <v>6344100</v>
      </c>
      <c r="G89" s="30" t="e">
        <f>+#REF!*#REF!*H89</f>
        <v>#REF!</v>
      </c>
      <c r="H89" s="5">
        <v>2.0139999999999998</v>
      </c>
    </row>
    <row r="90" spans="1:8" thickBot="1" x14ac:dyDescent="0.45">
      <c r="A90" s="18" t="s">
        <v>52</v>
      </c>
      <c r="B90" s="1">
        <v>1</v>
      </c>
      <c r="C90" s="22">
        <v>11</v>
      </c>
      <c r="D90" s="2">
        <v>6344100</v>
      </c>
      <c r="E90" s="4" t="s">
        <v>48</v>
      </c>
      <c r="F90" s="2">
        <v>6344100</v>
      </c>
      <c r="G90" s="30" t="e">
        <f>+#REF!*#REF!*H90</f>
        <v>#REF!</v>
      </c>
      <c r="H90" s="5">
        <v>2.0139999999999998</v>
      </c>
    </row>
    <row r="91" spans="1:8" thickBot="1" x14ac:dyDescent="0.45">
      <c r="A91" s="18" t="s">
        <v>52</v>
      </c>
      <c r="B91" s="1">
        <v>1</v>
      </c>
      <c r="C91" s="22">
        <v>11</v>
      </c>
      <c r="D91" s="2">
        <v>6344100</v>
      </c>
      <c r="E91" s="4" t="s">
        <v>49</v>
      </c>
      <c r="F91" s="2">
        <v>6344100</v>
      </c>
      <c r="G91" s="30" t="e">
        <f>+#REF!*#REF!*H91</f>
        <v>#REF!</v>
      </c>
      <c r="H91" s="5">
        <v>2.0139999999999998</v>
      </c>
    </row>
    <row r="92" spans="1:8" thickBot="1" x14ac:dyDescent="0.45">
      <c r="A92" s="18" t="s">
        <v>52</v>
      </c>
      <c r="B92" s="1">
        <v>1</v>
      </c>
      <c r="C92" s="22">
        <v>11</v>
      </c>
      <c r="D92" s="2">
        <v>6344100</v>
      </c>
      <c r="E92" s="4" t="s">
        <v>53</v>
      </c>
      <c r="F92" s="2">
        <v>6344100</v>
      </c>
      <c r="G92" s="30" t="e">
        <f>+#REF!*#REF!*H92</f>
        <v>#REF!</v>
      </c>
      <c r="H92" s="5">
        <v>2.0139999999999998</v>
      </c>
    </row>
    <row r="93" spans="1:8" thickBot="1" x14ac:dyDescent="0.45">
      <c r="A93" s="18" t="s">
        <v>52</v>
      </c>
      <c r="B93" s="1">
        <v>1</v>
      </c>
      <c r="C93" s="22">
        <v>11</v>
      </c>
      <c r="D93" s="2">
        <v>6344100</v>
      </c>
      <c r="E93" s="4" t="s">
        <v>169</v>
      </c>
      <c r="F93" s="2">
        <v>6344100</v>
      </c>
      <c r="G93" s="30" t="e">
        <f>+#REF!*#REF!*H93</f>
        <v>#REF!</v>
      </c>
      <c r="H93" s="5">
        <v>2.0139999999999998</v>
      </c>
    </row>
    <row r="94" spans="1:8" thickBot="1" x14ac:dyDescent="0.45">
      <c r="A94" s="18" t="s">
        <v>193</v>
      </c>
      <c r="B94" s="1">
        <v>1</v>
      </c>
      <c r="C94" s="22">
        <v>11</v>
      </c>
      <c r="D94" s="2">
        <v>6344100</v>
      </c>
      <c r="E94" s="4" t="s">
        <v>168</v>
      </c>
      <c r="F94" s="2">
        <v>6344100</v>
      </c>
      <c r="G94" s="30" t="e">
        <f>+#REF!*#REF!*H94</f>
        <v>#REF!</v>
      </c>
      <c r="H94" s="5">
        <v>2.0139999999999998</v>
      </c>
    </row>
    <row r="95" spans="1:8" thickBot="1" x14ac:dyDescent="0.45">
      <c r="A95" s="18" t="s">
        <v>52</v>
      </c>
      <c r="B95" s="1">
        <v>1</v>
      </c>
      <c r="C95" s="22">
        <v>11</v>
      </c>
      <c r="D95" s="2">
        <v>6344100</v>
      </c>
      <c r="E95" s="4" t="s">
        <v>63</v>
      </c>
      <c r="F95" s="2">
        <v>6344100</v>
      </c>
      <c r="G95" s="30" t="e">
        <f>+#REF!*#REF!*H95</f>
        <v>#REF!</v>
      </c>
      <c r="H95" s="5">
        <v>2.0139999999999998</v>
      </c>
    </row>
    <row r="96" spans="1:8" thickBot="1" x14ac:dyDescent="0.45">
      <c r="A96" s="18" t="s">
        <v>184</v>
      </c>
      <c r="B96" s="1">
        <v>1</v>
      </c>
      <c r="C96" s="22">
        <v>11</v>
      </c>
      <c r="D96" s="2">
        <v>6344100</v>
      </c>
      <c r="E96" s="4" t="s">
        <v>59</v>
      </c>
      <c r="F96" s="2">
        <v>6344100</v>
      </c>
      <c r="G96" s="30" t="e">
        <f>+#REF!*#REF!*H96</f>
        <v>#REF!</v>
      </c>
      <c r="H96" s="5">
        <v>2.0139999999999998</v>
      </c>
    </row>
    <row r="97" spans="1:8" thickBot="1" x14ac:dyDescent="0.45">
      <c r="A97" s="18" t="s">
        <v>52</v>
      </c>
      <c r="B97" s="1">
        <v>1</v>
      </c>
      <c r="C97" s="22">
        <v>11</v>
      </c>
      <c r="D97" s="2">
        <v>6344100</v>
      </c>
      <c r="E97" s="4" t="s">
        <v>177</v>
      </c>
      <c r="F97" s="2">
        <v>6344100</v>
      </c>
      <c r="G97" s="30" t="e">
        <f>+#REF!*#REF!*H97</f>
        <v>#REF!</v>
      </c>
      <c r="H97" s="5">
        <v>2.0139999999999998</v>
      </c>
    </row>
    <row r="98" spans="1:8" thickBot="1" x14ac:dyDescent="0.45">
      <c r="A98" s="18" t="s">
        <v>52</v>
      </c>
      <c r="B98" s="1">
        <v>1</v>
      </c>
      <c r="C98" s="22">
        <v>11</v>
      </c>
      <c r="D98" s="2">
        <v>6344100</v>
      </c>
      <c r="E98" s="4" t="s">
        <v>202</v>
      </c>
      <c r="F98" s="2">
        <v>6344100</v>
      </c>
      <c r="G98" s="30" t="e">
        <f>+#REF!*#REF!*H98</f>
        <v>#REF!</v>
      </c>
      <c r="H98" s="5">
        <v>2.0139999999999998</v>
      </c>
    </row>
    <row r="99" spans="1:8" thickBot="1" x14ac:dyDescent="0.45">
      <c r="A99" s="18" t="s">
        <v>137</v>
      </c>
      <c r="B99" s="1">
        <v>1</v>
      </c>
      <c r="C99" s="22">
        <v>11</v>
      </c>
      <c r="D99" s="2">
        <v>6344100</v>
      </c>
      <c r="E99" s="4" t="s">
        <v>81</v>
      </c>
      <c r="F99" s="2">
        <v>6344100</v>
      </c>
      <c r="G99" s="30" t="e">
        <f>+#REF!*#REF!*H99</f>
        <v>#REF!</v>
      </c>
      <c r="H99" s="5">
        <v>2.0139999999999998</v>
      </c>
    </row>
    <row r="100" spans="1:8" thickBot="1" x14ac:dyDescent="0.45">
      <c r="A100" s="18" t="s">
        <v>174</v>
      </c>
      <c r="B100" s="1">
        <v>1</v>
      </c>
      <c r="C100" s="22">
        <v>11</v>
      </c>
      <c r="D100" s="2">
        <v>6344100</v>
      </c>
      <c r="E100" s="4" t="s">
        <v>95</v>
      </c>
      <c r="F100" s="2">
        <v>6344100</v>
      </c>
      <c r="G100" s="30" t="e">
        <f>+#REF!*#REF!*H100</f>
        <v>#REF!</v>
      </c>
      <c r="H100" s="5">
        <v>2.0139999999999998</v>
      </c>
    </row>
    <row r="101" spans="1:8" ht="24" customHeight="1" thickBot="1" x14ac:dyDescent="0.45">
      <c r="A101" s="18" t="s">
        <v>151</v>
      </c>
      <c r="B101" s="1">
        <v>1</v>
      </c>
      <c r="C101" s="22">
        <v>11</v>
      </c>
      <c r="D101" s="2">
        <v>6344100</v>
      </c>
      <c r="E101" s="4" t="s">
        <v>84</v>
      </c>
      <c r="F101" s="2">
        <v>6344100</v>
      </c>
      <c r="G101" s="30" t="e">
        <f>+#REF!*#REF!*H101</f>
        <v>#REF!</v>
      </c>
      <c r="H101" s="5">
        <v>2.0139999999999998</v>
      </c>
    </row>
    <row r="102" spans="1:8" ht="24" customHeight="1" thickBot="1" x14ac:dyDescent="0.45">
      <c r="A102" s="18" t="s">
        <v>209</v>
      </c>
      <c r="B102" s="1">
        <v>1</v>
      </c>
      <c r="C102" s="22">
        <v>11</v>
      </c>
      <c r="D102" s="2">
        <v>6344100</v>
      </c>
      <c r="E102" s="4" t="s">
        <v>85</v>
      </c>
      <c r="F102" s="2">
        <v>6344100</v>
      </c>
      <c r="G102" s="30" t="e">
        <f>+#REF!*#REF!*H102</f>
        <v>#REF!</v>
      </c>
      <c r="H102" s="5">
        <v>2.0139999999999998</v>
      </c>
    </row>
    <row r="103" spans="1:8" ht="24" customHeight="1" thickBot="1" x14ac:dyDescent="0.45">
      <c r="A103" s="18" t="s">
        <v>52</v>
      </c>
      <c r="B103" s="1">
        <v>1</v>
      </c>
      <c r="C103" s="22">
        <v>11</v>
      </c>
      <c r="D103" s="2">
        <v>6344100</v>
      </c>
      <c r="E103" s="4" t="s">
        <v>110</v>
      </c>
      <c r="F103" s="2">
        <v>6344100</v>
      </c>
      <c r="G103" s="30" t="e">
        <f>+#REF!*#REF!*H103</f>
        <v>#REF!</v>
      </c>
      <c r="H103" s="5">
        <v>2.0139999999999998</v>
      </c>
    </row>
    <row r="104" spans="1:8" ht="24" customHeight="1" thickBot="1" x14ac:dyDescent="0.45">
      <c r="A104" s="18" t="s">
        <v>52</v>
      </c>
      <c r="B104" s="1">
        <v>1</v>
      </c>
      <c r="C104" s="22">
        <v>11</v>
      </c>
      <c r="D104" s="2">
        <v>6344100</v>
      </c>
      <c r="E104" s="4" t="s">
        <v>153</v>
      </c>
      <c r="F104" s="2">
        <v>6344100</v>
      </c>
      <c r="G104" s="30" t="e">
        <f>+#REF!*#REF!*H104</f>
        <v>#REF!</v>
      </c>
      <c r="H104" s="5">
        <v>2.0139999999999998</v>
      </c>
    </row>
    <row r="105" spans="1:8" ht="24" customHeight="1" thickBot="1" x14ac:dyDescent="0.45">
      <c r="A105" s="18" t="s">
        <v>52</v>
      </c>
      <c r="B105" s="1">
        <v>1</v>
      </c>
      <c r="C105" s="22">
        <v>11</v>
      </c>
      <c r="D105" s="2">
        <v>6344100</v>
      </c>
      <c r="E105" s="4" t="s">
        <v>116</v>
      </c>
      <c r="F105" s="2">
        <v>6344100</v>
      </c>
      <c r="G105" s="30" t="e">
        <f>+#REF!*#REF!*H105</f>
        <v>#REF!</v>
      </c>
      <c r="H105" s="5">
        <v>2.0139999999999998</v>
      </c>
    </row>
    <row r="106" spans="1:8" ht="24" customHeight="1" thickBot="1" x14ac:dyDescent="0.45">
      <c r="A106" s="18" t="s">
        <v>52</v>
      </c>
      <c r="B106" s="1">
        <v>1</v>
      </c>
      <c r="C106" s="22">
        <v>11</v>
      </c>
      <c r="D106" s="2">
        <v>6344100</v>
      </c>
      <c r="E106" s="4" t="s">
        <v>117</v>
      </c>
      <c r="F106" s="2">
        <v>6344100</v>
      </c>
      <c r="G106" s="30" t="e">
        <f>+#REF!*#REF!*H106</f>
        <v>#REF!</v>
      </c>
      <c r="H106" s="5">
        <v>2.0139999999999998</v>
      </c>
    </row>
    <row r="107" spans="1:8" ht="24" customHeight="1" thickBot="1" x14ac:dyDescent="0.45">
      <c r="A107" s="18" t="s">
        <v>52</v>
      </c>
      <c r="B107" s="1">
        <v>1</v>
      </c>
      <c r="C107" s="22">
        <v>11</v>
      </c>
      <c r="D107" s="2">
        <v>6344100</v>
      </c>
      <c r="E107" s="4" t="s">
        <v>201</v>
      </c>
      <c r="F107" s="2">
        <v>6344100</v>
      </c>
      <c r="G107" s="30" t="e">
        <f>+#REF!*#REF!*H107</f>
        <v>#REF!</v>
      </c>
      <c r="H107" s="5">
        <v>2.0139999999999998</v>
      </c>
    </row>
    <row r="108" spans="1:8" ht="24" customHeight="1" thickBot="1" x14ac:dyDescent="0.45">
      <c r="A108" s="18" t="s">
        <v>52</v>
      </c>
      <c r="B108" s="1">
        <v>1</v>
      </c>
      <c r="C108" s="22">
        <v>11</v>
      </c>
      <c r="D108" s="2">
        <v>6344100</v>
      </c>
      <c r="E108" s="4" t="s">
        <v>244</v>
      </c>
      <c r="F108" s="2">
        <v>6344100</v>
      </c>
      <c r="G108" s="30" t="e">
        <f>+#REF!*#REF!*H108</f>
        <v>#REF!</v>
      </c>
      <c r="H108" s="5">
        <v>2.0139999999999998</v>
      </c>
    </row>
    <row r="109" spans="1:8" ht="24" customHeight="1" thickBot="1" x14ac:dyDescent="0.45">
      <c r="A109" s="18" t="s">
        <v>52</v>
      </c>
      <c r="B109" s="1">
        <v>1</v>
      </c>
      <c r="C109" s="22">
        <v>11</v>
      </c>
      <c r="D109" s="2">
        <v>6344100</v>
      </c>
      <c r="E109" s="4" t="s">
        <v>66</v>
      </c>
      <c r="F109" s="2">
        <v>6344100</v>
      </c>
      <c r="G109" s="30" t="e">
        <f>+#REF!*#REF!*H109</f>
        <v>#REF!</v>
      </c>
      <c r="H109" s="5">
        <v>2.0139999999999998</v>
      </c>
    </row>
    <row r="110" spans="1:8" ht="24" customHeight="1" thickBot="1" x14ac:dyDescent="0.45">
      <c r="A110" s="18" t="s">
        <v>52</v>
      </c>
      <c r="B110" s="1">
        <v>1</v>
      </c>
      <c r="C110" s="22">
        <v>11</v>
      </c>
      <c r="D110" s="2">
        <v>6344100</v>
      </c>
      <c r="E110" s="4" t="s">
        <v>67</v>
      </c>
      <c r="F110" s="2">
        <v>6344100</v>
      </c>
      <c r="G110" s="30" t="e">
        <f>+#REF!*#REF!*H110</f>
        <v>#REF!</v>
      </c>
      <c r="H110" s="5">
        <v>2.0139999999999998</v>
      </c>
    </row>
    <row r="111" spans="1:8" ht="24" customHeight="1" thickBot="1" x14ac:dyDescent="0.45">
      <c r="A111" s="18" t="s">
        <v>52</v>
      </c>
      <c r="B111" s="1">
        <v>1</v>
      </c>
      <c r="C111" s="22">
        <v>11</v>
      </c>
      <c r="D111" s="2">
        <v>6344100</v>
      </c>
      <c r="E111" s="4" t="s">
        <v>170</v>
      </c>
      <c r="F111" s="2">
        <v>6344100</v>
      </c>
      <c r="G111" s="30" t="e">
        <f>+#REF!*#REF!*H111</f>
        <v>#REF!</v>
      </c>
      <c r="H111" s="5">
        <v>2.0139999999999998</v>
      </c>
    </row>
    <row r="112" spans="1:8" ht="24" customHeight="1" thickBot="1" x14ac:dyDescent="0.45">
      <c r="A112" s="18" t="s">
        <v>23</v>
      </c>
      <c r="B112" s="1">
        <v>1</v>
      </c>
      <c r="C112" s="22">
        <v>12</v>
      </c>
      <c r="D112" s="2">
        <v>6766200</v>
      </c>
      <c r="E112" s="4" t="s">
        <v>18</v>
      </c>
      <c r="F112" s="2">
        <v>6766200</v>
      </c>
      <c r="G112" s="30" t="e">
        <f>+#REF!*#REF!*H112</f>
        <v>#REF!</v>
      </c>
      <c r="H112" s="5">
        <v>2.1480000000000001</v>
      </c>
    </row>
    <row r="113" spans="1:8" ht="24" customHeight="1" thickBot="1" x14ac:dyDescent="0.45">
      <c r="A113" s="18" t="s">
        <v>23</v>
      </c>
      <c r="B113" s="1">
        <v>1</v>
      </c>
      <c r="C113" s="22">
        <v>12</v>
      </c>
      <c r="D113" s="2">
        <v>6766200</v>
      </c>
      <c r="E113" s="4" t="s">
        <v>237</v>
      </c>
      <c r="F113" s="2">
        <v>6766200</v>
      </c>
      <c r="G113" s="30" t="e">
        <f>+#REF!*#REF!*H113</f>
        <v>#REF!</v>
      </c>
      <c r="H113" s="5">
        <v>2.1480000000000001</v>
      </c>
    </row>
    <row r="114" spans="1:8" ht="24" customHeight="1" thickBot="1" x14ac:dyDescent="0.45">
      <c r="A114" s="19" t="s">
        <v>23</v>
      </c>
      <c r="B114" s="16">
        <v>1</v>
      </c>
      <c r="C114" s="22">
        <v>12</v>
      </c>
      <c r="D114" s="32">
        <v>6766200</v>
      </c>
      <c r="E114" s="4" t="s">
        <v>9</v>
      </c>
      <c r="F114" s="2">
        <v>6766200</v>
      </c>
      <c r="G114" s="30" t="e">
        <f>+#REF!*#REF!*H114</f>
        <v>#REF!</v>
      </c>
      <c r="H114" s="5">
        <v>2.1480000000000001</v>
      </c>
    </row>
    <row r="115" spans="1:8" ht="24" customHeight="1" thickBot="1" x14ac:dyDescent="0.45">
      <c r="A115" s="18" t="s">
        <v>23</v>
      </c>
      <c r="B115" s="1">
        <v>1</v>
      </c>
      <c r="C115" s="22">
        <v>12</v>
      </c>
      <c r="D115" s="2">
        <v>6766200</v>
      </c>
      <c r="E115" s="4" t="s">
        <v>26</v>
      </c>
      <c r="F115" s="2">
        <v>6766200</v>
      </c>
      <c r="G115" s="30" t="e">
        <f>+#REF!*#REF!*H115</f>
        <v>#REF!</v>
      </c>
      <c r="H115" s="5">
        <v>2.1480000000000001</v>
      </c>
    </row>
    <row r="116" spans="1:8" ht="24" customHeight="1" thickBot="1" x14ac:dyDescent="0.45">
      <c r="A116" s="18" t="s">
        <v>23</v>
      </c>
      <c r="B116" s="1">
        <v>1</v>
      </c>
      <c r="C116" s="22">
        <v>12</v>
      </c>
      <c r="D116" s="2">
        <v>6766200</v>
      </c>
      <c r="E116" s="4" t="s">
        <v>130</v>
      </c>
      <c r="F116" s="2">
        <v>6766200</v>
      </c>
      <c r="G116" s="30" t="e">
        <f>+#REF!*#REF!*H116</f>
        <v>#REF!</v>
      </c>
      <c r="H116" s="5">
        <v>2.1480000000000001</v>
      </c>
    </row>
    <row r="117" spans="1:8" ht="24" customHeight="1" thickBot="1" x14ac:dyDescent="0.45">
      <c r="A117" s="18" t="s">
        <v>23</v>
      </c>
      <c r="B117" s="1">
        <v>1</v>
      </c>
      <c r="C117" s="22">
        <v>12</v>
      </c>
      <c r="D117" s="2">
        <v>6766200</v>
      </c>
      <c r="E117" s="4" t="s">
        <v>27</v>
      </c>
      <c r="F117" s="2">
        <v>6766200</v>
      </c>
      <c r="G117" s="30" t="e">
        <f>+#REF!*#REF!*H117</f>
        <v>#REF!</v>
      </c>
      <c r="H117" s="5">
        <v>2.1480000000000001</v>
      </c>
    </row>
    <row r="118" spans="1:8" ht="24" customHeight="1" thickBot="1" x14ac:dyDescent="0.45">
      <c r="A118" s="18" t="s">
        <v>23</v>
      </c>
      <c r="B118" s="1">
        <v>1</v>
      </c>
      <c r="C118" s="22">
        <v>12</v>
      </c>
      <c r="D118" s="2">
        <v>6766200</v>
      </c>
      <c r="E118" s="4" t="s">
        <v>186</v>
      </c>
      <c r="F118" s="2">
        <v>6766200</v>
      </c>
      <c r="G118" s="30" t="e">
        <f>+#REF!*#REF!*H118</f>
        <v>#REF!</v>
      </c>
      <c r="H118" s="5">
        <v>2.1480000000000001</v>
      </c>
    </row>
    <row r="119" spans="1:8" ht="24" customHeight="1" thickBot="1" x14ac:dyDescent="0.45">
      <c r="A119" s="18" t="s">
        <v>136</v>
      </c>
      <c r="B119" s="1">
        <v>1</v>
      </c>
      <c r="C119" s="22">
        <v>12</v>
      </c>
      <c r="D119" s="2">
        <v>6766200</v>
      </c>
      <c r="E119" s="4" t="s">
        <v>34</v>
      </c>
      <c r="F119" s="2">
        <v>6766200</v>
      </c>
      <c r="G119" s="30" t="e">
        <f>+#REF!*#REF!*H119</f>
        <v>#REF!</v>
      </c>
      <c r="H119" s="5">
        <v>2.1480000000000001</v>
      </c>
    </row>
    <row r="120" spans="1:8" ht="24" customHeight="1" thickBot="1" x14ac:dyDescent="0.45">
      <c r="A120" s="18" t="s">
        <v>172</v>
      </c>
      <c r="B120" s="1">
        <v>1</v>
      </c>
      <c r="C120" s="22">
        <v>12</v>
      </c>
      <c r="D120" s="2">
        <v>6766200</v>
      </c>
      <c r="E120" s="4" t="s">
        <v>37</v>
      </c>
      <c r="F120" s="2">
        <v>6766200</v>
      </c>
      <c r="G120" s="30" t="e">
        <f>+#REF!*#REF!*H120</f>
        <v>#REF!</v>
      </c>
      <c r="H120" s="5">
        <v>2.1480000000000001</v>
      </c>
    </row>
    <row r="121" spans="1:8" ht="24" customHeight="1" thickBot="1" x14ac:dyDescent="0.45">
      <c r="A121" s="18" t="s">
        <v>23</v>
      </c>
      <c r="B121" s="1">
        <v>1</v>
      </c>
      <c r="C121" s="22">
        <v>12</v>
      </c>
      <c r="D121" s="2">
        <v>6766200</v>
      </c>
      <c r="E121" s="4" t="s">
        <v>125</v>
      </c>
      <c r="F121" s="2">
        <v>6766200</v>
      </c>
      <c r="G121" s="30" t="e">
        <f>+#REF!*#REF!*H121</f>
        <v>#REF!</v>
      </c>
      <c r="H121" s="5">
        <v>2.1480000000000001</v>
      </c>
    </row>
    <row r="122" spans="1:8" ht="24" customHeight="1" thickBot="1" x14ac:dyDescent="0.45">
      <c r="A122" s="18" t="s">
        <v>23</v>
      </c>
      <c r="B122" s="1">
        <v>1</v>
      </c>
      <c r="C122" s="22">
        <v>12</v>
      </c>
      <c r="D122" s="2">
        <v>6766200</v>
      </c>
      <c r="E122" s="4" t="s">
        <v>182</v>
      </c>
      <c r="F122" s="2">
        <v>6766200</v>
      </c>
      <c r="G122" s="30" t="e">
        <f>+#REF!*#REF!*H122</f>
        <v>#REF!</v>
      </c>
      <c r="H122" s="5">
        <v>2.1480000000000001</v>
      </c>
    </row>
    <row r="123" spans="1:8" ht="24" customHeight="1" thickBot="1" x14ac:dyDescent="0.45">
      <c r="A123" s="18" t="s">
        <v>23</v>
      </c>
      <c r="B123" s="1">
        <v>1</v>
      </c>
      <c r="C123" s="22">
        <v>12</v>
      </c>
      <c r="D123" s="2">
        <v>6766200</v>
      </c>
      <c r="E123" s="4" t="s">
        <v>58</v>
      </c>
      <c r="F123" s="2">
        <v>6766200</v>
      </c>
      <c r="G123" s="30" t="e">
        <f>+#REF!*#REF!*H123</f>
        <v>#REF!</v>
      </c>
      <c r="H123" s="5">
        <v>2.1480000000000001</v>
      </c>
    </row>
    <row r="124" spans="1:8" ht="24" customHeight="1" thickBot="1" x14ac:dyDescent="0.45">
      <c r="A124" s="19" t="s">
        <v>23</v>
      </c>
      <c r="B124" s="16">
        <v>1</v>
      </c>
      <c r="C124" s="1">
        <v>12</v>
      </c>
      <c r="D124" s="32">
        <v>6766200</v>
      </c>
      <c r="E124" s="4" t="s">
        <v>9</v>
      </c>
      <c r="F124" s="2">
        <v>6766200</v>
      </c>
      <c r="G124" s="30" t="e">
        <f>+#REF!*#REF!*H124</f>
        <v>#REF!</v>
      </c>
      <c r="H124" s="5">
        <v>2.1480000000000001</v>
      </c>
    </row>
    <row r="125" spans="1:8" ht="24" customHeight="1" thickBot="1" x14ac:dyDescent="0.45">
      <c r="A125" s="18" t="s">
        <v>23</v>
      </c>
      <c r="B125" s="1">
        <v>1</v>
      </c>
      <c r="C125" s="22">
        <v>12</v>
      </c>
      <c r="D125" s="2">
        <v>6766200</v>
      </c>
      <c r="E125" s="4" t="s">
        <v>126</v>
      </c>
      <c r="F125" s="2">
        <v>6766200</v>
      </c>
      <c r="G125" s="30" t="e">
        <f>+#REF!*#REF!*H125</f>
        <v>#REF!</v>
      </c>
      <c r="H125" s="5">
        <v>2.1480000000000001</v>
      </c>
    </row>
    <row r="126" spans="1:8" ht="24" customHeight="1" thickBot="1" x14ac:dyDescent="0.45">
      <c r="A126" s="18" t="s">
        <v>23</v>
      </c>
      <c r="B126" s="1">
        <v>1</v>
      </c>
      <c r="C126" s="22">
        <v>12</v>
      </c>
      <c r="D126" s="2">
        <v>6766200</v>
      </c>
      <c r="E126" s="4" t="s">
        <v>129</v>
      </c>
      <c r="F126" s="2">
        <v>6766200</v>
      </c>
      <c r="G126" s="30" t="e">
        <f>+#REF!*#REF!*H126</f>
        <v>#REF!</v>
      </c>
      <c r="H126" s="5">
        <v>2.1480000000000001</v>
      </c>
    </row>
    <row r="127" spans="1:8" ht="24" customHeight="1" thickBot="1" x14ac:dyDescent="0.45">
      <c r="A127" s="18" t="s">
        <v>23</v>
      </c>
      <c r="B127" s="1">
        <v>1</v>
      </c>
      <c r="C127" s="22">
        <v>12</v>
      </c>
      <c r="D127" s="2">
        <v>6766200</v>
      </c>
      <c r="E127" s="4" t="s">
        <v>245</v>
      </c>
      <c r="F127" s="2">
        <v>6766200</v>
      </c>
      <c r="G127" s="30" t="e">
        <f>+#REF!*#REF!*H127</f>
        <v>#REF!</v>
      </c>
      <c r="H127" s="5">
        <v>2.1480000000000001</v>
      </c>
    </row>
    <row r="128" spans="1:8" ht="24" customHeight="1" thickBot="1" x14ac:dyDescent="0.45">
      <c r="A128" s="18" t="s">
        <v>194</v>
      </c>
      <c r="B128" s="1">
        <v>1</v>
      </c>
      <c r="C128" s="22">
        <v>12</v>
      </c>
      <c r="D128" s="2">
        <v>6766200</v>
      </c>
      <c r="E128" s="4" t="s">
        <v>227</v>
      </c>
      <c r="F128" s="2">
        <v>6766200</v>
      </c>
      <c r="G128" s="30" t="e">
        <f>+#REF!*#REF!*H128</f>
        <v>#REF!</v>
      </c>
      <c r="H128" s="5">
        <v>2.1480000000000001</v>
      </c>
    </row>
    <row r="129" spans="1:8" ht="24" customHeight="1" thickBot="1" x14ac:dyDescent="0.45">
      <c r="A129" s="18" t="s">
        <v>23</v>
      </c>
      <c r="B129" s="1">
        <v>1</v>
      </c>
      <c r="C129" s="22">
        <v>12</v>
      </c>
      <c r="D129" s="2">
        <v>6766200</v>
      </c>
      <c r="E129" s="4" t="s">
        <v>248</v>
      </c>
      <c r="F129" s="2">
        <v>6766200</v>
      </c>
      <c r="G129" s="30" t="e">
        <f>+#REF!*#REF!*H129</f>
        <v>#REF!</v>
      </c>
      <c r="H129" s="5">
        <v>2.1480000000000001</v>
      </c>
    </row>
    <row r="130" spans="1:8" ht="24" customHeight="1" thickBot="1" x14ac:dyDescent="0.45">
      <c r="A130" s="18" t="s">
        <v>23</v>
      </c>
      <c r="B130" s="1">
        <v>1</v>
      </c>
      <c r="C130" s="22">
        <v>12</v>
      </c>
      <c r="D130" s="2">
        <v>6766200</v>
      </c>
      <c r="E130" s="4" t="s">
        <v>175</v>
      </c>
      <c r="F130" s="2">
        <v>6766200</v>
      </c>
      <c r="G130" s="30" t="e">
        <f>+#REF!*#REF!*H130</f>
        <v>#REF!</v>
      </c>
      <c r="H130" s="5">
        <v>2.1480000000000001</v>
      </c>
    </row>
    <row r="131" spans="1:8" ht="24" customHeight="1" thickBot="1" x14ac:dyDescent="0.45">
      <c r="A131" s="18" t="s">
        <v>217</v>
      </c>
      <c r="B131" s="1">
        <v>1</v>
      </c>
      <c r="C131" s="22">
        <v>12</v>
      </c>
      <c r="D131" s="2">
        <v>6766200</v>
      </c>
      <c r="E131" s="4" t="s">
        <v>70</v>
      </c>
      <c r="F131" s="2">
        <v>6766200</v>
      </c>
      <c r="G131" s="30" t="e">
        <f>+#REF!*#REF!*H131</f>
        <v>#REF!</v>
      </c>
      <c r="H131" s="5">
        <v>2.1480000000000001</v>
      </c>
    </row>
    <row r="132" spans="1:8" ht="24" customHeight="1" thickBot="1" x14ac:dyDescent="0.45">
      <c r="A132" s="18" t="s">
        <v>218</v>
      </c>
      <c r="B132" s="1">
        <v>1</v>
      </c>
      <c r="C132" s="22">
        <v>12</v>
      </c>
      <c r="D132" s="2">
        <v>6766200</v>
      </c>
      <c r="E132" s="4" t="s">
        <v>71</v>
      </c>
      <c r="F132" s="2">
        <v>6766200</v>
      </c>
      <c r="G132" s="30" t="e">
        <f>+#REF!*#REF!*H132</f>
        <v>#REF!</v>
      </c>
      <c r="H132" s="5">
        <v>2.1480000000000001</v>
      </c>
    </row>
    <row r="133" spans="1:8" ht="24" customHeight="1" thickBot="1" x14ac:dyDescent="0.45">
      <c r="A133" s="18" t="s">
        <v>219</v>
      </c>
      <c r="B133" s="1">
        <v>1</v>
      </c>
      <c r="C133" s="22">
        <v>12</v>
      </c>
      <c r="D133" s="2">
        <v>6766200</v>
      </c>
      <c r="E133" s="4" t="s">
        <v>72</v>
      </c>
      <c r="F133" s="2">
        <v>6766200</v>
      </c>
      <c r="G133" s="30" t="e">
        <f>+#REF!*#REF!*H133</f>
        <v>#REF!</v>
      </c>
      <c r="H133" s="5">
        <v>2.1480000000000001</v>
      </c>
    </row>
    <row r="134" spans="1:8" ht="24" customHeight="1" thickBot="1" x14ac:dyDescent="0.45">
      <c r="A134" s="18" t="s">
        <v>220</v>
      </c>
      <c r="B134" s="1">
        <v>1</v>
      </c>
      <c r="C134" s="22">
        <v>12</v>
      </c>
      <c r="D134" s="2">
        <v>6766200</v>
      </c>
      <c r="E134" s="4" t="s">
        <v>73</v>
      </c>
      <c r="F134" s="2">
        <v>6766200</v>
      </c>
      <c r="G134" s="30" t="e">
        <f>+#REF!*#REF!*H134</f>
        <v>#REF!</v>
      </c>
      <c r="H134" s="5">
        <v>2.1480000000000001</v>
      </c>
    </row>
    <row r="135" spans="1:8" ht="24" customHeight="1" thickBot="1" x14ac:dyDescent="0.45">
      <c r="A135" s="18" t="s">
        <v>221</v>
      </c>
      <c r="B135" s="1">
        <v>1</v>
      </c>
      <c r="C135" s="22">
        <v>12</v>
      </c>
      <c r="D135" s="2">
        <v>6766200</v>
      </c>
      <c r="E135" s="4" t="s">
        <v>74</v>
      </c>
      <c r="F135" s="2">
        <v>6766200</v>
      </c>
      <c r="G135" s="30" t="e">
        <f>+#REF!*#REF!*H135</f>
        <v>#REF!</v>
      </c>
      <c r="H135" s="5">
        <v>2.1480000000000001</v>
      </c>
    </row>
    <row r="136" spans="1:8" ht="24" customHeight="1" thickBot="1" x14ac:dyDescent="0.45">
      <c r="A136" s="18" t="s">
        <v>222</v>
      </c>
      <c r="B136" s="1">
        <v>1</v>
      </c>
      <c r="C136" s="22">
        <v>12</v>
      </c>
      <c r="D136" s="2">
        <v>6766200</v>
      </c>
      <c r="E136" s="4" t="s">
        <v>75</v>
      </c>
      <c r="F136" s="2">
        <v>6766200</v>
      </c>
      <c r="G136" s="30" t="e">
        <f>+#REF!*#REF!*H136</f>
        <v>#REF!</v>
      </c>
      <c r="H136" s="5">
        <v>2.1480000000000001</v>
      </c>
    </row>
    <row r="137" spans="1:8" ht="24" customHeight="1" thickBot="1" x14ac:dyDescent="0.45">
      <c r="A137" s="18" t="s">
        <v>223</v>
      </c>
      <c r="B137" s="1">
        <v>1</v>
      </c>
      <c r="C137" s="22">
        <v>12</v>
      </c>
      <c r="D137" s="2">
        <v>6766200</v>
      </c>
      <c r="E137" s="4" t="s">
        <v>76</v>
      </c>
      <c r="F137" s="2">
        <v>6766200</v>
      </c>
      <c r="G137" s="30" t="e">
        <f>+#REF!*#REF!*H137</f>
        <v>#REF!</v>
      </c>
      <c r="H137" s="5">
        <v>2.1480000000000001</v>
      </c>
    </row>
    <row r="138" spans="1:8" ht="24" customHeight="1" thickBot="1" x14ac:dyDescent="0.45">
      <c r="A138" s="18" t="s">
        <v>224</v>
      </c>
      <c r="B138" s="1">
        <v>1</v>
      </c>
      <c r="C138" s="22">
        <v>12</v>
      </c>
      <c r="D138" s="2">
        <v>6766200</v>
      </c>
      <c r="E138" s="4" t="s">
        <v>77</v>
      </c>
      <c r="F138" s="2">
        <v>6766200</v>
      </c>
      <c r="G138" s="30" t="e">
        <f>+#REF!*#REF!*H138</f>
        <v>#REF!</v>
      </c>
      <c r="H138" s="5">
        <v>2.1480000000000001</v>
      </c>
    </row>
    <row r="139" spans="1:8" ht="24" customHeight="1" thickBot="1" x14ac:dyDescent="0.45">
      <c r="A139" s="18" t="s">
        <v>225</v>
      </c>
      <c r="B139" s="1">
        <v>1</v>
      </c>
      <c r="C139" s="22">
        <v>12</v>
      </c>
      <c r="D139" s="2">
        <v>6766200</v>
      </c>
      <c r="E139" s="4" t="s">
        <v>78</v>
      </c>
      <c r="F139" s="2">
        <v>6766200</v>
      </c>
      <c r="G139" s="30" t="e">
        <f>+#REF!*#REF!*H139</f>
        <v>#REF!</v>
      </c>
      <c r="H139" s="5">
        <v>2.1480000000000001</v>
      </c>
    </row>
    <row r="140" spans="1:8" ht="24" customHeight="1" thickBot="1" x14ac:dyDescent="0.45">
      <c r="A140" s="18" t="s">
        <v>172</v>
      </c>
      <c r="B140" s="1">
        <v>1</v>
      </c>
      <c r="C140" s="22">
        <v>12</v>
      </c>
      <c r="D140" s="2">
        <v>6766200</v>
      </c>
      <c r="E140" s="4" t="s">
        <v>82</v>
      </c>
      <c r="F140" s="2">
        <v>6766200</v>
      </c>
      <c r="G140" s="30" t="e">
        <f>+#REF!*#REF!*H140</f>
        <v>#REF!</v>
      </c>
      <c r="H140" s="5">
        <v>2.1480000000000001</v>
      </c>
    </row>
    <row r="141" spans="1:8" ht="24" customHeight="1" thickBot="1" x14ac:dyDescent="0.45">
      <c r="A141" s="18" t="s">
        <v>226</v>
      </c>
      <c r="B141" s="1">
        <v>1</v>
      </c>
      <c r="C141" s="22">
        <v>12</v>
      </c>
      <c r="D141" s="2">
        <v>6766200</v>
      </c>
      <c r="E141" s="4" t="s">
        <v>79</v>
      </c>
      <c r="F141" s="2">
        <v>6766200</v>
      </c>
      <c r="G141" s="30" t="e">
        <f>+#REF!*#REF!*H141</f>
        <v>#REF!</v>
      </c>
      <c r="H141" s="5">
        <v>2.1480000000000001</v>
      </c>
    </row>
    <row r="142" spans="1:8" ht="24" customHeight="1" thickBot="1" x14ac:dyDescent="0.45">
      <c r="A142" s="18" t="s">
        <v>218</v>
      </c>
      <c r="B142" s="1">
        <v>1</v>
      </c>
      <c r="C142" s="22">
        <v>12</v>
      </c>
      <c r="D142" s="2">
        <v>6766200</v>
      </c>
      <c r="E142" s="4" t="s">
        <v>80</v>
      </c>
      <c r="F142" s="2">
        <v>6766200</v>
      </c>
      <c r="G142" s="30" t="e">
        <f>+#REF!*#REF!*H142</f>
        <v>#REF!</v>
      </c>
      <c r="H142" s="5">
        <v>2.1480000000000001</v>
      </c>
    </row>
    <row r="143" spans="1:8" thickBot="1" x14ac:dyDescent="0.45">
      <c r="A143" s="18" t="s">
        <v>173</v>
      </c>
      <c r="B143" s="1">
        <v>1</v>
      </c>
      <c r="C143" s="22">
        <v>12</v>
      </c>
      <c r="D143" s="2">
        <v>6766200</v>
      </c>
      <c r="E143" s="4" t="s">
        <v>83</v>
      </c>
      <c r="F143" s="2">
        <v>6766200</v>
      </c>
      <c r="G143" s="30" t="e">
        <f>+#REF!*#REF!*H143</f>
        <v>#REF!</v>
      </c>
      <c r="H143" s="5">
        <v>2.1480000000000001</v>
      </c>
    </row>
    <row r="144" spans="1:8" thickBot="1" x14ac:dyDescent="0.45">
      <c r="A144" s="18" t="s">
        <v>23</v>
      </c>
      <c r="B144" s="1">
        <v>1</v>
      </c>
      <c r="C144" s="22">
        <v>12</v>
      </c>
      <c r="D144" s="2">
        <v>6766200</v>
      </c>
      <c r="E144" s="4" t="s">
        <v>108</v>
      </c>
      <c r="F144" s="2">
        <v>6766200</v>
      </c>
      <c r="G144" s="30" t="e">
        <f>+#REF!*#REF!*H144</f>
        <v>#REF!</v>
      </c>
      <c r="H144" s="5">
        <v>2.1480000000000001</v>
      </c>
    </row>
    <row r="145" spans="1:8" thickBot="1" x14ac:dyDescent="0.45">
      <c r="A145" s="18" t="s">
        <v>23</v>
      </c>
      <c r="B145" s="1">
        <v>1</v>
      </c>
      <c r="C145" s="22">
        <v>12</v>
      </c>
      <c r="D145" s="2">
        <v>6766200</v>
      </c>
      <c r="E145" s="4" t="s">
        <v>109</v>
      </c>
      <c r="F145" s="2">
        <v>6766200</v>
      </c>
      <c r="G145" s="30" t="e">
        <f>+#REF!*#REF!*H145</f>
        <v>#REF!</v>
      </c>
      <c r="H145" s="5">
        <v>2.1480000000000001</v>
      </c>
    </row>
    <row r="146" spans="1:8" thickBot="1" x14ac:dyDescent="0.45">
      <c r="A146" s="18" t="s">
        <v>23</v>
      </c>
      <c r="B146" s="1">
        <v>1</v>
      </c>
      <c r="C146" s="22">
        <v>12</v>
      </c>
      <c r="D146" s="2">
        <v>6766200</v>
      </c>
      <c r="E146" s="4" t="s">
        <v>112</v>
      </c>
      <c r="F146" s="2">
        <v>6766200</v>
      </c>
      <c r="G146" s="30" t="e">
        <f>+#REF!*#REF!*H146</f>
        <v>#REF!</v>
      </c>
      <c r="H146" s="5">
        <v>2.1480000000000001</v>
      </c>
    </row>
    <row r="147" spans="1:8" thickBot="1" x14ac:dyDescent="0.45">
      <c r="A147" s="18" t="s">
        <v>23</v>
      </c>
      <c r="B147" s="1">
        <v>1</v>
      </c>
      <c r="C147" s="22">
        <v>12</v>
      </c>
      <c r="D147" s="2">
        <v>6766200</v>
      </c>
      <c r="E147" s="4" t="s">
        <v>183</v>
      </c>
      <c r="F147" s="2">
        <v>6766200</v>
      </c>
      <c r="G147" s="30" t="e">
        <f>+#REF!*#REF!*H147</f>
        <v>#REF!</v>
      </c>
      <c r="H147" s="5">
        <v>2.1480000000000001</v>
      </c>
    </row>
    <row r="148" spans="1:8" thickBot="1" x14ac:dyDescent="0.45">
      <c r="A148" s="18" t="s">
        <v>23</v>
      </c>
      <c r="B148" s="1">
        <v>1</v>
      </c>
      <c r="C148" s="22">
        <v>12</v>
      </c>
      <c r="D148" s="2">
        <v>6766200</v>
      </c>
      <c r="E148" s="4" t="s">
        <v>115</v>
      </c>
      <c r="F148" s="2">
        <v>6766200</v>
      </c>
      <c r="G148" s="30" t="e">
        <f>+#REF!*#REF!*H148</f>
        <v>#REF!</v>
      </c>
      <c r="H148" s="5">
        <v>2.1480000000000001</v>
      </c>
    </row>
    <row r="149" spans="1:8" thickBot="1" x14ac:dyDescent="0.45">
      <c r="A149" s="18" t="s">
        <v>23</v>
      </c>
      <c r="B149" s="1">
        <v>1</v>
      </c>
      <c r="C149" s="22">
        <v>12</v>
      </c>
      <c r="D149" s="2">
        <v>6766200</v>
      </c>
      <c r="E149" s="4" t="s">
        <v>258</v>
      </c>
      <c r="F149" s="2">
        <v>6766200</v>
      </c>
      <c r="G149" s="30" t="e">
        <f>+#REF!*#REF!*H149</f>
        <v>#REF!</v>
      </c>
      <c r="H149" s="5">
        <v>2.1480000000000001</v>
      </c>
    </row>
    <row r="150" spans="1:8" ht="42.6" thickBot="1" x14ac:dyDescent="0.45">
      <c r="A150" s="18" t="s">
        <v>232</v>
      </c>
      <c r="B150" s="1">
        <v>1</v>
      </c>
      <c r="C150" s="22">
        <v>13</v>
      </c>
      <c r="D150" s="2">
        <v>7194600</v>
      </c>
      <c r="E150" s="4" t="s">
        <v>10</v>
      </c>
      <c r="F150" s="2">
        <v>7194600</v>
      </c>
      <c r="G150" s="30" t="e">
        <f>+#REF!*#REF!*H150</f>
        <v>#REF!</v>
      </c>
      <c r="H150" s="5">
        <v>2.2839999999999998</v>
      </c>
    </row>
    <row r="151" spans="1:8" thickBot="1" x14ac:dyDescent="0.45">
      <c r="A151" s="18" t="s">
        <v>21</v>
      </c>
      <c r="B151" s="16">
        <v>1</v>
      </c>
      <c r="C151" s="31">
        <v>13</v>
      </c>
      <c r="D151" s="32">
        <v>7194600</v>
      </c>
      <c r="E151" s="4" t="s">
        <v>22</v>
      </c>
      <c r="F151" s="2">
        <v>7194600</v>
      </c>
      <c r="G151" s="30" t="e">
        <f>+#REF!*#REF!*H151</f>
        <v>#REF!</v>
      </c>
      <c r="H151" s="5">
        <v>2.2839999999999998</v>
      </c>
    </row>
    <row r="152" spans="1:8" thickBot="1" x14ac:dyDescent="0.45">
      <c r="A152" s="18" t="s">
        <v>215</v>
      </c>
      <c r="B152" s="1">
        <v>1</v>
      </c>
      <c r="C152" s="22">
        <v>13</v>
      </c>
      <c r="D152" s="2">
        <v>7194600</v>
      </c>
      <c r="E152" s="4" t="s">
        <v>135</v>
      </c>
      <c r="F152" s="2">
        <v>7194600</v>
      </c>
      <c r="G152" s="30" t="e">
        <f>+#REF!*#REF!*H152</f>
        <v>#REF!</v>
      </c>
      <c r="H152" s="5">
        <v>2.2839999999999998</v>
      </c>
    </row>
    <row r="153" spans="1:8" thickBot="1" x14ac:dyDescent="0.45">
      <c r="A153" s="18" t="s">
        <v>215</v>
      </c>
      <c r="B153" s="1">
        <v>1</v>
      </c>
      <c r="C153" s="22">
        <v>13</v>
      </c>
      <c r="D153" s="2">
        <v>7194600</v>
      </c>
      <c r="E153" s="4" t="s">
        <v>253</v>
      </c>
      <c r="F153" s="2">
        <v>7194600</v>
      </c>
      <c r="G153" s="30" t="e">
        <f>+#REF!*#REF!*H153</f>
        <v>#REF!</v>
      </c>
      <c r="H153" s="5">
        <v>2.2839999999999998</v>
      </c>
    </row>
    <row r="154" spans="1:8" thickBot="1" x14ac:dyDescent="0.45">
      <c r="A154" s="18" t="s">
        <v>21</v>
      </c>
      <c r="B154" s="1">
        <v>1</v>
      </c>
      <c r="C154" s="22">
        <v>13</v>
      </c>
      <c r="D154" s="2">
        <v>7194600</v>
      </c>
      <c r="E154" s="4" t="s">
        <v>243</v>
      </c>
      <c r="F154" s="2">
        <v>7194600</v>
      </c>
      <c r="G154" s="30" t="e">
        <f>+#REF!*#REF!*H154</f>
        <v>#REF!</v>
      </c>
      <c r="H154" s="5">
        <v>2.2839999999999998</v>
      </c>
    </row>
    <row r="155" spans="1:8" thickBot="1" x14ac:dyDescent="0.45">
      <c r="A155" s="18" t="s">
        <v>21</v>
      </c>
      <c r="B155" s="1">
        <v>1</v>
      </c>
      <c r="C155" s="22">
        <v>13</v>
      </c>
      <c r="D155" s="2">
        <v>7194600</v>
      </c>
      <c r="E155" s="4" t="s">
        <v>107</v>
      </c>
      <c r="F155" s="2">
        <v>7194600</v>
      </c>
      <c r="G155" s="30" t="e">
        <f>+#REF!*#REF!*H155</f>
        <v>#REF!</v>
      </c>
      <c r="H155" s="5">
        <v>2.2839999999999998</v>
      </c>
    </row>
    <row r="156" spans="1:8" thickBot="1" x14ac:dyDescent="0.45">
      <c r="A156" s="18" t="s">
        <v>21</v>
      </c>
      <c r="B156" s="1">
        <v>1</v>
      </c>
      <c r="C156" s="22">
        <v>13</v>
      </c>
      <c r="D156" s="2">
        <v>7194600</v>
      </c>
      <c r="E156" s="4" t="s">
        <v>251</v>
      </c>
      <c r="F156" s="2">
        <v>7194600</v>
      </c>
      <c r="G156" s="30" t="e">
        <f>+#REF!*#REF!*H156</f>
        <v>#REF!</v>
      </c>
      <c r="H156" s="5">
        <v>2.2839999999999998</v>
      </c>
    </row>
    <row r="157" spans="1:8" thickBot="1" x14ac:dyDescent="0.45">
      <c r="A157" s="18" t="s">
        <v>21</v>
      </c>
      <c r="B157" s="1">
        <v>1</v>
      </c>
      <c r="C157" s="22">
        <v>13</v>
      </c>
      <c r="D157" s="2">
        <v>7194600</v>
      </c>
      <c r="E157" s="4" t="s">
        <v>64</v>
      </c>
      <c r="F157" s="2">
        <v>7194600</v>
      </c>
      <c r="G157" s="30" t="e">
        <f>+#REF!*#REF!*H157</f>
        <v>#REF!</v>
      </c>
      <c r="H157" s="5">
        <v>2.2839999999999998</v>
      </c>
    </row>
    <row r="158" spans="1:8" thickBot="1" x14ac:dyDescent="0.45">
      <c r="A158" s="18" t="s">
        <v>6</v>
      </c>
      <c r="B158" s="1">
        <v>1</v>
      </c>
      <c r="C158" s="22">
        <v>14</v>
      </c>
      <c r="D158" s="2">
        <v>7626200</v>
      </c>
      <c r="E158" s="4" t="s">
        <v>7</v>
      </c>
      <c r="F158" s="2">
        <v>7626200</v>
      </c>
      <c r="G158" s="30" t="e">
        <f>+#REF!*#REF!*H158</f>
        <v>#REF!</v>
      </c>
      <c r="H158" s="5">
        <v>2.4209999999999998</v>
      </c>
    </row>
    <row r="159" spans="1:8" ht="42.6" thickBot="1" x14ac:dyDescent="0.45">
      <c r="A159" s="18" t="s">
        <v>236</v>
      </c>
      <c r="B159" s="1">
        <v>1</v>
      </c>
      <c r="C159" s="22">
        <v>14</v>
      </c>
      <c r="D159" s="2">
        <v>7626200</v>
      </c>
      <c r="E159" s="4" t="s">
        <v>8</v>
      </c>
      <c r="F159" s="2">
        <v>7626200</v>
      </c>
      <c r="G159" s="30" t="e">
        <f>+#REF!*#REF!*H159</f>
        <v>#REF!</v>
      </c>
      <c r="H159" s="5">
        <v>2.4209999999999998</v>
      </c>
    </row>
    <row r="160" spans="1:8" thickBot="1" x14ac:dyDescent="0.45">
      <c r="A160" s="18" t="s">
        <v>231</v>
      </c>
      <c r="B160" s="1">
        <v>1</v>
      </c>
      <c r="C160" s="22">
        <v>14</v>
      </c>
      <c r="D160" s="2">
        <v>7626200</v>
      </c>
      <c r="E160" s="4" t="s">
        <v>133</v>
      </c>
      <c r="F160" s="2">
        <v>7626200</v>
      </c>
      <c r="G160" s="30" t="e">
        <f>+#REF!*#REF!*H160</f>
        <v>#REF!</v>
      </c>
      <c r="H160" s="5">
        <v>2.4209999999999998</v>
      </c>
    </row>
    <row r="161" spans="1:8" thickBot="1" x14ac:dyDescent="0.45">
      <c r="A161" s="18" t="s">
        <v>15</v>
      </c>
      <c r="B161" s="1">
        <v>1</v>
      </c>
      <c r="C161" s="22">
        <v>14</v>
      </c>
      <c r="D161" s="2">
        <v>7626200</v>
      </c>
      <c r="E161" s="4" t="s">
        <v>17</v>
      </c>
      <c r="F161" s="2">
        <v>7626200</v>
      </c>
      <c r="G161" s="30" t="e">
        <f>+#REF!*#REF!*H161</f>
        <v>#REF!</v>
      </c>
      <c r="H161" s="5">
        <v>2.4209999999999998</v>
      </c>
    </row>
    <row r="162" spans="1:8" thickBot="1" x14ac:dyDescent="0.45">
      <c r="A162" s="18" t="s">
        <v>15</v>
      </c>
      <c r="B162" s="16">
        <v>1</v>
      </c>
      <c r="C162" s="31">
        <v>14</v>
      </c>
      <c r="D162" s="32">
        <v>7626200</v>
      </c>
      <c r="E162" s="4" t="s">
        <v>20</v>
      </c>
      <c r="F162" s="2">
        <v>7626200</v>
      </c>
      <c r="G162" s="30" t="e">
        <f>+#REF!*#REF!*H162</f>
        <v>#REF!</v>
      </c>
      <c r="H162" s="5">
        <v>2.4209999999999998</v>
      </c>
    </row>
    <row r="163" spans="1:8" thickBot="1" x14ac:dyDescent="0.45">
      <c r="A163" s="18" t="s">
        <v>214</v>
      </c>
      <c r="B163" s="1">
        <v>1</v>
      </c>
      <c r="C163" s="22">
        <v>14</v>
      </c>
      <c r="D163" s="2">
        <v>7626200</v>
      </c>
      <c r="E163" s="4" t="s">
        <v>25</v>
      </c>
      <c r="F163" s="2">
        <v>7626200</v>
      </c>
      <c r="G163" s="30" t="e">
        <f>+#REF!*#REF!*H163</f>
        <v>#REF!</v>
      </c>
      <c r="H163" s="5">
        <v>2.4209999999999998</v>
      </c>
    </row>
    <row r="164" spans="1:8" thickBot="1" x14ac:dyDescent="0.45">
      <c r="A164" s="18" t="s">
        <v>230</v>
      </c>
      <c r="B164" s="1">
        <v>1</v>
      </c>
      <c r="C164" s="22">
        <v>14</v>
      </c>
      <c r="D164" s="2">
        <v>7626200</v>
      </c>
      <c r="E164" s="4" t="s">
        <v>47</v>
      </c>
      <c r="F164" s="2">
        <v>7626200</v>
      </c>
      <c r="G164" s="30" t="e">
        <f>+#REF!*#REF!*H164</f>
        <v>#REF!</v>
      </c>
      <c r="H164" s="5">
        <v>2.4209999999999998</v>
      </c>
    </row>
    <row r="165" spans="1:8" thickBot="1" x14ac:dyDescent="0.45">
      <c r="A165" s="18" t="s">
        <v>15</v>
      </c>
      <c r="B165" s="1">
        <v>1</v>
      </c>
      <c r="C165" s="22">
        <v>14</v>
      </c>
      <c r="D165" s="2">
        <v>7626200</v>
      </c>
      <c r="E165" s="4" t="s">
        <v>51</v>
      </c>
      <c r="F165" s="2">
        <v>7626200</v>
      </c>
      <c r="G165" s="30" t="e">
        <f>+#REF!*#REF!*H165</f>
        <v>#REF!</v>
      </c>
      <c r="H165" s="5">
        <v>2.4209999999999998</v>
      </c>
    </row>
    <row r="166" spans="1:8" thickBot="1" x14ac:dyDescent="0.45">
      <c r="A166" s="18" t="s">
        <v>214</v>
      </c>
      <c r="B166" s="1">
        <v>1</v>
      </c>
      <c r="C166" s="22">
        <v>14</v>
      </c>
      <c r="D166" s="2">
        <v>7626200</v>
      </c>
      <c r="E166" s="4" t="s">
        <v>57</v>
      </c>
      <c r="F166" s="2">
        <v>7626200</v>
      </c>
      <c r="G166" s="30" t="e">
        <f>+#REF!*#REF!*H166</f>
        <v>#REF!</v>
      </c>
      <c r="H166" s="5">
        <v>2.4209999999999998</v>
      </c>
    </row>
    <row r="167" spans="1:8" thickBot="1" x14ac:dyDescent="0.45">
      <c r="A167" s="18" t="s">
        <v>214</v>
      </c>
      <c r="B167" s="1">
        <v>1</v>
      </c>
      <c r="C167" s="22">
        <v>14</v>
      </c>
      <c r="D167" s="2">
        <v>7626200</v>
      </c>
      <c r="E167" s="4" t="s">
        <v>62</v>
      </c>
      <c r="F167" s="2">
        <v>7626200</v>
      </c>
      <c r="G167" s="30" t="e">
        <f>+#REF!*#REF!*H167</f>
        <v>#REF!</v>
      </c>
      <c r="H167" s="5">
        <v>2.4209999999999998</v>
      </c>
    </row>
    <row r="168" spans="1:8" thickBot="1" x14ac:dyDescent="0.45">
      <c r="A168" s="18" t="s">
        <v>15</v>
      </c>
      <c r="B168" s="1">
        <v>1</v>
      </c>
      <c r="C168" s="22">
        <v>14</v>
      </c>
      <c r="D168" s="2">
        <v>7626200</v>
      </c>
      <c r="E168" s="4" t="s">
        <v>124</v>
      </c>
      <c r="F168" s="2">
        <v>7626200</v>
      </c>
      <c r="G168" s="30" t="e">
        <f>+#REF!*#REF!*H168</f>
        <v>#REF!</v>
      </c>
      <c r="H168" s="5">
        <v>2.4209999999999998</v>
      </c>
    </row>
    <row r="169" spans="1:8" thickBot="1" x14ac:dyDescent="0.45">
      <c r="A169" s="18" t="s">
        <v>15</v>
      </c>
      <c r="B169" s="1">
        <v>1</v>
      </c>
      <c r="C169" s="22">
        <v>14</v>
      </c>
      <c r="D169" s="2">
        <v>7626200</v>
      </c>
      <c r="E169" s="4" t="s">
        <v>179</v>
      </c>
      <c r="F169" s="2">
        <v>7626200</v>
      </c>
      <c r="G169" s="30" t="e">
        <f>+#REF!*#REF!*H169</f>
        <v>#REF!</v>
      </c>
      <c r="H169" s="5">
        <v>2.4209999999999998</v>
      </c>
    </row>
    <row r="170" spans="1:8" thickBot="1" x14ac:dyDescent="0.45">
      <c r="A170" s="18" t="s">
        <v>15</v>
      </c>
      <c r="B170" s="1">
        <v>1</v>
      </c>
      <c r="C170" s="22">
        <v>14</v>
      </c>
      <c r="D170" s="2">
        <v>7626200</v>
      </c>
      <c r="E170" s="4" t="s">
        <v>56</v>
      </c>
      <c r="F170" s="2">
        <v>7626200</v>
      </c>
      <c r="G170" s="30" t="e">
        <f>+#REF!*#REF!*H170</f>
        <v>#REF!</v>
      </c>
      <c r="H170" s="5">
        <v>2.4209999999999998</v>
      </c>
    </row>
    <row r="171" spans="1:8" thickBot="1" x14ac:dyDescent="0.45">
      <c r="A171" s="18" t="s">
        <v>214</v>
      </c>
      <c r="B171" s="1">
        <v>1</v>
      </c>
      <c r="C171" s="22">
        <v>14</v>
      </c>
      <c r="D171" s="2">
        <v>7626200</v>
      </c>
      <c r="E171" s="4" t="s">
        <v>65</v>
      </c>
      <c r="F171" s="2">
        <v>7626200</v>
      </c>
      <c r="G171" s="30" t="e">
        <f>+#REF!*#REF!*H171</f>
        <v>#REF!</v>
      </c>
      <c r="H171" s="5">
        <v>2.4209999999999998</v>
      </c>
    </row>
    <row r="172" spans="1:8" thickBot="1" x14ac:dyDescent="0.45">
      <c r="A172" s="18" t="s">
        <v>15</v>
      </c>
      <c r="B172" s="1">
        <v>1</v>
      </c>
      <c r="C172" s="22">
        <v>14</v>
      </c>
      <c r="D172" s="2">
        <v>7626200</v>
      </c>
      <c r="E172" s="4" t="s">
        <v>106</v>
      </c>
      <c r="F172" s="2">
        <v>7626200</v>
      </c>
      <c r="G172" s="30" t="e">
        <f>+#REF!*#REF!*H172</f>
        <v>#REF!</v>
      </c>
      <c r="H172" s="5">
        <v>2.4209999999999998</v>
      </c>
    </row>
    <row r="173" spans="1:8" thickBot="1" x14ac:dyDescent="0.45">
      <c r="A173" s="18" t="s">
        <v>15</v>
      </c>
      <c r="B173" s="1">
        <v>1</v>
      </c>
      <c r="C173" s="22">
        <v>14</v>
      </c>
      <c r="D173" s="2">
        <v>7626200</v>
      </c>
      <c r="E173" s="4" t="s">
        <v>111</v>
      </c>
      <c r="F173" s="2">
        <v>7626200</v>
      </c>
      <c r="G173" s="30" t="e">
        <f>+#REF!*#REF!*H173</f>
        <v>#REF!</v>
      </c>
      <c r="H173" s="5">
        <v>2.4209999999999998</v>
      </c>
    </row>
    <row r="174" spans="1:8" thickBot="1" x14ac:dyDescent="0.45">
      <c r="A174" s="18" t="s">
        <v>15</v>
      </c>
      <c r="B174" s="1">
        <v>1</v>
      </c>
      <c r="C174" s="22">
        <v>14</v>
      </c>
      <c r="D174" s="2">
        <v>7626200</v>
      </c>
      <c r="E174" s="4" t="s">
        <v>118</v>
      </c>
      <c r="F174" s="2">
        <v>7626200</v>
      </c>
      <c r="G174" s="30" t="e">
        <f>+#REF!*#REF!*H174</f>
        <v>#REF!</v>
      </c>
      <c r="H174" s="5">
        <v>2.4209999999999998</v>
      </c>
    </row>
    <row r="175" spans="1:8" thickBot="1" x14ac:dyDescent="0.45">
      <c r="A175" s="18" t="s">
        <v>15</v>
      </c>
      <c r="B175" s="1">
        <v>1</v>
      </c>
      <c r="C175" s="22">
        <v>14</v>
      </c>
      <c r="D175" s="2">
        <v>7626200</v>
      </c>
      <c r="E175" s="4" t="s">
        <v>114</v>
      </c>
      <c r="F175" s="2">
        <v>7626200</v>
      </c>
      <c r="G175" s="30" t="e">
        <f>+#REF!*#REF!*H175</f>
        <v>#REF!</v>
      </c>
      <c r="H175" s="5">
        <v>2.4209999999999998</v>
      </c>
    </row>
    <row r="176" spans="1:8" thickBot="1" x14ac:dyDescent="0.45">
      <c r="A176" s="18" t="s">
        <v>120</v>
      </c>
      <c r="B176" s="1">
        <v>1</v>
      </c>
      <c r="C176" s="22">
        <v>14</v>
      </c>
      <c r="D176" s="2">
        <v>7626200</v>
      </c>
      <c r="E176" s="4" t="s">
        <v>121</v>
      </c>
      <c r="F176" s="2">
        <v>7626200</v>
      </c>
      <c r="G176" s="30" t="e">
        <f>+#REF!*#REF!*H176</f>
        <v>#REF!</v>
      </c>
      <c r="H176" s="5">
        <v>2.4209999999999998</v>
      </c>
    </row>
    <row r="177" spans="1:8" thickBot="1" x14ac:dyDescent="0.45">
      <c r="A177" s="18" t="s">
        <v>15</v>
      </c>
      <c r="B177" s="1">
        <v>1</v>
      </c>
      <c r="C177" s="22">
        <v>14</v>
      </c>
      <c r="D177" s="2">
        <v>7626200</v>
      </c>
      <c r="E177" s="4" t="s">
        <v>50</v>
      </c>
      <c r="F177" s="2">
        <v>7626200</v>
      </c>
      <c r="G177" s="30" t="e">
        <f>+#REF!*#REF!*H177</f>
        <v>#REF!</v>
      </c>
      <c r="H177" s="5">
        <v>2.4209999999999998</v>
      </c>
    </row>
    <row r="178" spans="1:8" thickBot="1" x14ac:dyDescent="0.45">
      <c r="A178" s="18" t="s">
        <v>15</v>
      </c>
      <c r="B178" s="1">
        <v>1</v>
      </c>
      <c r="C178" s="22">
        <v>14</v>
      </c>
      <c r="D178" s="2">
        <v>7626200</v>
      </c>
      <c r="E178" s="4" t="s">
        <v>35</v>
      </c>
      <c r="F178" s="2">
        <v>7626200</v>
      </c>
      <c r="G178" s="30" t="e">
        <f>+#REF!*#REF!*H178</f>
        <v>#REF!</v>
      </c>
      <c r="H178" s="5">
        <v>2.4209999999999998</v>
      </c>
    </row>
    <row r="179" spans="1:8" thickBot="1" x14ac:dyDescent="0.45">
      <c r="A179" s="18" t="s">
        <v>15</v>
      </c>
      <c r="B179" s="1">
        <v>1</v>
      </c>
      <c r="C179" s="22">
        <v>14</v>
      </c>
      <c r="D179" s="2">
        <v>7626200</v>
      </c>
      <c r="E179" s="4" t="s">
        <v>234</v>
      </c>
      <c r="F179" s="2">
        <v>7626200</v>
      </c>
      <c r="G179" s="30" t="e">
        <f>+#REF!*#REF!*H179</f>
        <v>#REF!</v>
      </c>
      <c r="H179" s="5">
        <v>2.4209999999999998</v>
      </c>
    </row>
    <row r="180" spans="1:8" thickBot="1" x14ac:dyDescent="0.45">
      <c r="A180" s="18" t="s">
        <v>15</v>
      </c>
      <c r="B180" s="1">
        <v>1</v>
      </c>
      <c r="C180" s="22">
        <v>14</v>
      </c>
      <c r="D180" s="2">
        <v>7626200</v>
      </c>
      <c r="E180" s="4" t="s">
        <v>185</v>
      </c>
      <c r="F180" s="2">
        <v>7626200</v>
      </c>
      <c r="G180" s="30" t="e">
        <f>+#REF!*#REF!*H180</f>
        <v>#REF!</v>
      </c>
      <c r="H180" s="5">
        <v>2.4209999999999998</v>
      </c>
    </row>
    <row r="181" spans="1:8" thickBot="1" x14ac:dyDescent="0.45">
      <c r="A181" s="18" t="s">
        <v>3</v>
      </c>
      <c r="B181" s="1">
        <v>1</v>
      </c>
      <c r="C181" s="22">
        <v>15</v>
      </c>
      <c r="D181" s="2">
        <v>8067200</v>
      </c>
      <c r="E181" s="4" t="s">
        <v>16</v>
      </c>
      <c r="F181" s="2">
        <v>8067200</v>
      </c>
      <c r="G181" s="30" t="e">
        <f>+#REF!*#REF!*H181</f>
        <v>#REF!</v>
      </c>
      <c r="H181" s="5">
        <v>2.5609999999999999</v>
      </c>
    </row>
    <row r="182" spans="1:8" thickBot="1" x14ac:dyDescent="0.45">
      <c r="A182" s="18" t="s">
        <v>4</v>
      </c>
      <c r="B182" s="1">
        <v>1</v>
      </c>
      <c r="C182" s="22">
        <v>15</v>
      </c>
      <c r="D182" s="2">
        <v>7664000</v>
      </c>
      <c r="E182" s="4" t="s">
        <v>9</v>
      </c>
      <c r="F182" s="2">
        <v>7664000</v>
      </c>
      <c r="G182" s="30" t="e">
        <f>+#REF!*#REF!*H182</f>
        <v>#REF!</v>
      </c>
      <c r="H182" s="5">
        <v>2.4329999999999998</v>
      </c>
    </row>
    <row r="183" spans="1:8" thickBot="1" x14ac:dyDescent="0.45">
      <c r="A183" s="18" t="s">
        <v>2</v>
      </c>
      <c r="B183" s="1">
        <v>1</v>
      </c>
      <c r="C183" s="22">
        <v>16</v>
      </c>
      <c r="D183" s="2">
        <v>8517600</v>
      </c>
      <c r="E183" s="4" t="s">
        <v>259</v>
      </c>
      <c r="F183" s="2">
        <v>8517600</v>
      </c>
      <c r="G183" s="30" t="e">
        <f>+#REF!*#REF!*H183</f>
        <v>#REF!</v>
      </c>
      <c r="H183" s="5">
        <v>2.7040000000000002</v>
      </c>
    </row>
    <row r="184" spans="1:8" x14ac:dyDescent="0.45">
      <c r="D184" s="11">
        <f>SUM(D1:D183)</f>
        <v>1148159900</v>
      </c>
    </row>
    <row r="186" spans="1:8" s="9" customFormat="1" ht="22.8" x14ac:dyDescent="0.4">
      <c r="A186" s="6" t="s">
        <v>236</v>
      </c>
      <c r="B186" s="6"/>
      <c r="C186" s="6"/>
      <c r="D186" s="7" t="s">
        <v>241</v>
      </c>
      <c r="E186" s="8"/>
      <c r="F186" s="8"/>
      <c r="G186" s="8"/>
      <c r="H186" s="5"/>
    </row>
    <row r="187" spans="1:8" s="9" customFormat="1" ht="22.8" x14ac:dyDescent="0.4">
      <c r="A187" s="6"/>
      <c r="B187" s="6"/>
      <c r="C187" s="6"/>
      <c r="D187" s="7"/>
      <c r="E187" s="8"/>
      <c r="F187" s="8"/>
      <c r="G187" s="8"/>
      <c r="H187" s="5"/>
    </row>
    <row r="188" spans="1:8" s="9" customFormat="1" ht="22.8" x14ac:dyDescent="0.4">
      <c r="A188" s="6" t="s">
        <v>240</v>
      </c>
      <c r="B188" s="6"/>
      <c r="C188" s="6"/>
      <c r="D188" s="7" t="s">
        <v>132</v>
      </c>
      <c r="E188" s="8"/>
      <c r="F188" s="8"/>
      <c r="G188" s="8"/>
      <c r="H188" s="5"/>
    </row>
    <row r="189" spans="1:8" s="9" customFormat="1" ht="22.8" x14ac:dyDescent="0.4">
      <c r="D189" s="10"/>
      <c r="E189" s="8"/>
      <c r="F189" s="8"/>
      <c r="G189" s="8"/>
      <c r="H189" s="5"/>
    </row>
  </sheetData>
  <sortState xmlns:xlrd2="http://schemas.microsoft.com/office/spreadsheetml/2017/richdata2" ref="A1:H250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01.05.2025</vt:lpstr>
      <vt:lpstr>Лист3</vt:lpstr>
      <vt:lpstr>boshliqlar</vt:lpstr>
      <vt:lpstr>liast----</vt:lpstr>
      <vt:lpstr>Лист1 (2)</vt:lpstr>
      <vt:lpstr>Лист4</vt:lpstr>
      <vt:lpstr>Лист1</vt:lpstr>
      <vt:lpstr>Лист2</vt:lpstr>
      <vt:lpstr>'01.05.2025'!Заголовки_для_печати</vt:lpstr>
      <vt:lpstr>'liast----'!Заголовки_для_печати</vt:lpstr>
      <vt:lpstr>Лист1!Заголовки_для_печати</vt:lpstr>
      <vt:lpstr>'Лист1 (2)'!Заголовки_для_печати</vt:lpstr>
      <vt:lpstr>'01.05.2025'!Область_печати</vt:lpstr>
      <vt:lpstr>'liast----'!Область_печати</vt:lpstr>
      <vt:lpstr>Лист1!Область_печати</vt:lpstr>
      <vt:lpstr>'Лист1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Nafisa Ismailova</dc:creator>
  <cp:lastModifiedBy>admin</cp:lastModifiedBy>
  <cp:lastPrinted>2025-11-25T08:00:12Z</cp:lastPrinted>
  <dcterms:created xsi:type="dcterms:W3CDTF">2022-01-13T13:16:13Z</dcterms:created>
  <dcterms:modified xsi:type="dcterms:W3CDTF">2026-01-06T06:38:33Z</dcterms:modified>
</cp:coreProperties>
</file>